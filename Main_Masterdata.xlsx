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vadme-my.sharepoint.com/personal/mmimay_evad-me_com/Documents/Desktop/Automation Files (Michelle)/"/>
    </mc:Choice>
  </mc:AlternateContent>
  <xr:revisionPtr revIDLastSave="819" documentId="8_{8E52F0C5-4D00-4F5C-A416-D612744F047F}" xr6:coauthVersionLast="47" xr6:coauthVersionMax="47" xr10:uidLastSave="{E420FC88-5505-4FA6-9BAE-F81220554946}"/>
  <bookViews>
    <workbookView xWindow="-86" yWindow="0" windowWidth="12515" windowHeight="14794" firstSheet="4" activeTab="7" xr2:uid="{C2C4CD77-1853-4495-822B-1488FD34AFB2}"/>
  </bookViews>
  <sheets>
    <sheet name="Source" sheetId="3" r:id="rId1"/>
    <sheet name="Approver_Rules" sheetId="14" r:id="rId2"/>
    <sheet name="Contact_Entry_00" sheetId="2" r:id="rId3"/>
    <sheet name="Contact_Master" sheetId="16" r:id="rId4"/>
    <sheet name="Project_Entry_01" sheetId="1" r:id="rId5"/>
    <sheet name="Project_Master" sheetId="15" r:id="rId6"/>
    <sheet name="Approvers_Dashboard_02" sheetId="5" r:id="rId7"/>
    <sheet name="AR_Report_03" sheetId="6" r:id="rId8"/>
    <sheet name="AP_Report_04" sheetId="7" r:id="rId9"/>
    <sheet name="Payment_History_05" sheetId="8" r:id="rId10"/>
    <sheet name="Contract_Summary_06" sheetId="9" r:id="rId11"/>
    <sheet name="Forecasting_07" sheetId="10" r:id="rId12"/>
    <sheet name="Sales_Evaluation_08" sheetId="11" r:id="rId13"/>
    <sheet name="Docs_Records_09" sheetId="12" r:id="rId14"/>
    <sheet name="Project_Updates_10" sheetId="13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5" l="1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B4" i="6" a="1"/>
  <c r="B4" i="6" s="1"/>
  <c r="D19" i="5" l="1"/>
  <c r="D17" i="5"/>
  <c r="D15" i="5"/>
  <c r="C8" i="5"/>
  <c r="B3" i="5" l="1"/>
  <c r="B5" i="5" s="1"/>
  <c r="C11" i="5" l="1"/>
  <c r="C9" i="5"/>
  <c r="C12" i="5"/>
  <c r="C13" i="5"/>
  <c r="C1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<sst xmlns="http://schemas.openxmlformats.org/spreadsheetml/2006/main" count="6018" uniqueCount="2696">
  <si>
    <t>Category</t>
  </si>
  <si>
    <t>Entry Date</t>
  </si>
  <si>
    <t>User ID</t>
  </si>
  <si>
    <t>End-User</t>
  </si>
  <si>
    <t>Channel Partner</t>
  </si>
  <si>
    <t>Vendor</t>
  </si>
  <si>
    <t>Vendor (Trade)</t>
  </si>
  <si>
    <t>Vendor (Non-Trade)</t>
  </si>
  <si>
    <t>Company Full Name</t>
  </si>
  <si>
    <t>Address 1</t>
  </si>
  <si>
    <t>Address 2</t>
  </si>
  <si>
    <t>City</t>
  </si>
  <si>
    <t>Country</t>
  </si>
  <si>
    <t>Website</t>
  </si>
  <si>
    <t>Company Tel #</t>
  </si>
  <si>
    <t>Main Contact Person</t>
  </si>
  <si>
    <t>Main Contact Designation</t>
  </si>
  <si>
    <t>Main Contact #</t>
  </si>
  <si>
    <t>Main Contact Email Address</t>
  </si>
  <si>
    <t>Accounting Contact Person</t>
  </si>
  <si>
    <t>Accounting Contact Designation</t>
  </si>
  <si>
    <t>Accounting Contact #</t>
  </si>
  <si>
    <t>Accounting Contact Email Address</t>
  </si>
  <si>
    <t>Michelle Mimay</t>
  </si>
  <si>
    <t>User Name</t>
  </si>
  <si>
    <t>User Code</t>
  </si>
  <si>
    <t>Maria Bugarin</t>
  </si>
  <si>
    <t>Mohannad Arrabi</t>
  </si>
  <si>
    <t>MB02@</t>
  </si>
  <si>
    <t>Abdullah Qaisi</t>
  </si>
  <si>
    <t>AQ08@@@@</t>
  </si>
  <si>
    <t>Eman Abubaker</t>
  </si>
  <si>
    <t>EA03###</t>
  </si>
  <si>
    <t>MM00@#@</t>
  </si>
  <si>
    <t>Country Code</t>
  </si>
  <si>
    <t>UAE</t>
  </si>
  <si>
    <t>LBN</t>
  </si>
  <si>
    <t>KSA</t>
  </si>
  <si>
    <t>QTR</t>
  </si>
  <si>
    <t>AFR</t>
  </si>
  <si>
    <t>JDN</t>
  </si>
  <si>
    <t>PLT</t>
  </si>
  <si>
    <t>EGY</t>
  </si>
  <si>
    <t>OMN</t>
  </si>
  <si>
    <t>BAH</t>
  </si>
  <si>
    <t>TKY</t>
  </si>
  <si>
    <t>PAK</t>
  </si>
  <si>
    <t>BRA</t>
  </si>
  <si>
    <t>ESP</t>
  </si>
  <si>
    <t>United Arab Emirates</t>
  </si>
  <si>
    <t>Lebanon</t>
  </si>
  <si>
    <t>Kingdom of Saudi Arabia</t>
  </si>
  <si>
    <t>Qatar</t>
  </si>
  <si>
    <t>Africa</t>
  </si>
  <si>
    <t>Jordan</t>
  </si>
  <si>
    <t>Palestine</t>
  </si>
  <si>
    <t>Egypt</t>
  </si>
  <si>
    <t>Oman</t>
  </si>
  <si>
    <t>Bahrain</t>
  </si>
  <si>
    <t>Turkey</t>
  </si>
  <si>
    <t>Pakistan</t>
  </si>
  <si>
    <t>Brazil</t>
  </si>
  <si>
    <t>Spain</t>
  </si>
  <si>
    <t>KWT</t>
  </si>
  <si>
    <t>Kuwait</t>
  </si>
  <si>
    <t>Libya</t>
  </si>
  <si>
    <t>Iraq</t>
  </si>
  <si>
    <t>Morocco</t>
  </si>
  <si>
    <t>Syria</t>
  </si>
  <si>
    <t>IRQ</t>
  </si>
  <si>
    <t>LBY</t>
  </si>
  <si>
    <t>SYR</t>
  </si>
  <si>
    <t>MAR</t>
  </si>
  <si>
    <t>Users Sheet (Access)</t>
  </si>
  <si>
    <t>ROI Score</t>
  </si>
  <si>
    <t>00,02,03,05,06,07</t>
  </si>
  <si>
    <t>Ibrahim Jamus</t>
  </si>
  <si>
    <t>IJ01***</t>
  </si>
  <si>
    <t>MA04@@</t>
  </si>
  <si>
    <t>03,04</t>
  </si>
  <si>
    <t>All-No Restriction (Main Admin)</t>
  </si>
  <si>
    <t>Payment Terms</t>
  </si>
  <si>
    <t>00,09</t>
  </si>
  <si>
    <t>Sales Manager</t>
  </si>
  <si>
    <t>Regional Sales Manager</t>
  </si>
  <si>
    <t>RSM05!!!</t>
  </si>
  <si>
    <t>02</t>
  </si>
  <si>
    <t>TL/CR #</t>
  </si>
  <si>
    <t>VAT #</t>
  </si>
  <si>
    <t>TL/CR Expiry Date</t>
  </si>
  <si>
    <t>Relationship Manager</t>
  </si>
  <si>
    <t>Partner Size</t>
  </si>
  <si>
    <t>Credit History</t>
  </si>
  <si>
    <t>Outstanding Balance</t>
  </si>
  <si>
    <t>Days Sales Outstanding</t>
  </si>
  <si>
    <t>CEO&amp;GM</t>
  </si>
  <si>
    <t>SEngineerManager</t>
  </si>
  <si>
    <t>Akram Naeem</t>
  </si>
  <si>
    <t>Mohannad Al Arrabi</t>
  </si>
  <si>
    <t>OpsManager</t>
  </si>
  <si>
    <t>Sundaresh Rao</t>
  </si>
  <si>
    <t>SalesHead</t>
  </si>
  <si>
    <t>ApproverName</t>
  </si>
  <si>
    <t>Role</t>
  </si>
  <si>
    <t>MinMargin</t>
  </si>
  <si>
    <t>MaxMargin</t>
  </si>
  <si>
    <t>PS&amp;Training</t>
  </si>
  <si>
    <t>Training</t>
  </si>
  <si>
    <t>Low Priority</t>
  </si>
  <si>
    <t>Standard</t>
  </si>
  <si>
    <t>Medium Priority</t>
  </si>
  <si>
    <t>Top Priority</t>
  </si>
  <si>
    <t xml:space="preserve">Top Priority </t>
  </si>
  <si>
    <t>Project % of Target</t>
  </si>
  <si>
    <t>&gt;4%</t>
  </si>
  <si>
    <t>0% – 0.299999%</t>
  </si>
  <si>
    <t>0.3% – 1.999999%</t>
  </si>
  <si>
    <t>2% – 3.999999%</t>
  </si>
  <si>
    <t>N/A</t>
  </si>
  <si>
    <t>SUBMIT Button
(Macro)</t>
  </si>
  <si>
    <t>Type User Code
Here:</t>
  </si>
  <si>
    <t>User Name
(Based on the Source)
(Macro)</t>
  </si>
  <si>
    <t>Search Bar (Macro)</t>
  </si>
  <si>
    <t>Type Company Name Here</t>
  </si>
  <si>
    <t>**If Company Name is typed in Cell "C28" Show details per Header</t>
  </si>
  <si>
    <t>Status</t>
  </si>
  <si>
    <t>Year</t>
  </si>
  <si>
    <t>Project Year</t>
  </si>
  <si>
    <t>Entry</t>
  </si>
  <si>
    <t>Product</t>
  </si>
  <si>
    <t>EfficientIP</t>
  </si>
  <si>
    <t>Datapatrol</t>
  </si>
  <si>
    <t>Cloudmon</t>
  </si>
  <si>
    <t>Mimecast</t>
  </si>
  <si>
    <t>FileOrbis</t>
  </si>
  <si>
    <t>SecOps</t>
  </si>
  <si>
    <t>Levo</t>
  </si>
  <si>
    <t>StrikeReady</t>
  </si>
  <si>
    <t>Revbits</t>
  </si>
  <si>
    <t>Segura</t>
  </si>
  <si>
    <t>Sealpath</t>
  </si>
  <si>
    <t>Fourcore</t>
  </si>
  <si>
    <t>Harfanglab</t>
  </si>
  <si>
    <t>LogicVein</t>
  </si>
  <si>
    <t>Ostorlab</t>
  </si>
  <si>
    <t>Glimps</t>
  </si>
  <si>
    <t>Cellinfo</t>
  </si>
  <si>
    <t>Datapatrol (PS)</t>
  </si>
  <si>
    <t>EfficientIP (PS)</t>
  </si>
  <si>
    <t>EfficientIP (TR)</t>
  </si>
  <si>
    <t>Project Country</t>
  </si>
  <si>
    <t>Project #</t>
  </si>
  <si>
    <t>Project Folder Ref.</t>
  </si>
  <si>
    <t>EVAD Entity</t>
  </si>
  <si>
    <t>*Dropdown from Source ("F")</t>
  </si>
  <si>
    <t>*Dropdown from Source ("H")</t>
  </si>
  <si>
    <t>*Dropdown from Contact_Master ("H")</t>
  </si>
  <si>
    <t>Close Win</t>
  </si>
  <si>
    <t>Open</t>
  </si>
  <si>
    <t>Close Loss</t>
  </si>
  <si>
    <t>SE Team</t>
  </si>
  <si>
    <t>*Dropdown (Source "J")</t>
  </si>
  <si>
    <t>*Dropdown (Source"E")</t>
  </si>
  <si>
    <t>*Dropdown (Source "D")</t>
  </si>
  <si>
    <t>ASC</t>
  </si>
  <si>
    <t>EVAD ME</t>
  </si>
  <si>
    <t>*Dropdown from Source ("I")</t>
  </si>
  <si>
    <t>*Dropdown from Source ("K")</t>
  </si>
  <si>
    <t>*Dropdown from Source ("L")</t>
  </si>
  <si>
    <t>Contact Entry Section (MACRO to Contact_Master Sheet)</t>
  </si>
  <si>
    <t>Project Entry Section (MACRO to Project Master)</t>
  </si>
  <si>
    <t xml:space="preserve">All (CEO) Except Project_Master , Contact_Master </t>
  </si>
  <si>
    <t xml:space="preserve">All (GM) Except Project_Master , Contact_Master </t>
  </si>
  <si>
    <t>Project Name</t>
  </si>
  <si>
    <t>Currency</t>
  </si>
  <si>
    <t>EVAD Assigned SE</t>
  </si>
  <si>
    <t>EVAD PO Date</t>
  </si>
  <si>
    <t>Supplier Invoice</t>
  </si>
  <si>
    <t>Payment Due Date</t>
  </si>
  <si>
    <t>Contract Start Date</t>
  </si>
  <si>
    <t>EVAD PS Value (Original Currency)</t>
  </si>
  <si>
    <t>EVAD PS Value (AED)</t>
  </si>
  <si>
    <t>EVAD Account Manager</t>
  </si>
  <si>
    <t>Employee Name</t>
  </si>
  <si>
    <t>*Dropdown from Source ("J")</t>
  </si>
  <si>
    <t>Customer PO Date</t>
  </si>
  <si>
    <t>Customer PO #</t>
  </si>
  <si>
    <t>Customer PO Value</t>
  </si>
  <si>
    <t>Customer PO Currency</t>
  </si>
  <si>
    <t>EVAD Invoice QTY</t>
  </si>
  <si>
    <t>EVAD Invoice Date</t>
  </si>
  <si>
    <t>EVAD Invoice Year</t>
  </si>
  <si>
    <t>EVAD Invoice #</t>
  </si>
  <si>
    <t>EVAD Invoice Amount
(Original Currency)</t>
  </si>
  <si>
    <t>Project Name
(End-User)</t>
  </si>
  <si>
    <t>Customer Payment
Received?</t>
  </si>
  <si>
    <t xml:space="preserve">INVAE </t>
  </si>
  <si>
    <t>INV-ASC</t>
  </si>
  <si>
    <t>PINV</t>
  </si>
  <si>
    <t>PINVAE</t>
  </si>
  <si>
    <t>POSA</t>
  </si>
  <si>
    <t>POAE</t>
  </si>
  <si>
    <t>DINV</t>
  </si>
  <si>
    <t>INV</t>
  </si>
  <si>
    <t>ASC Code</t>
  </si>
  <si>
    <t>EVAD UAE Code</t>
  </si>
  <si>
    <t>EVAD DWC Code</t>
  </si>
  <si>
    <t>POEV</t>
  </si>
  <si>
    <t>POED</t>
  </si>
  <si>
    <t>EVAD Invoice Amount
(AED)</t>
  </si>
  <si>
    <t>AED</t>
  </si>
  <si>
    <t>USD</t>
  </si>
  <si>
    <t>SAR</t>
  </si>
  <si>
    <t>EVAD Invoice
(Due Date)</t>
  </si>
  <si>
    <t>EVAD Invoice Due Counter</t>
  </si>
  <si>
    <t>EVAD Received Amount
(Original Currency)</t>
  </si>
  <si>
    <t>EVAD Invoice
(Original Currency)</t>
  </si>
  <si>
    <t>EVAD Invoice Outstanding Balance (Original Currency)</t>
  </si>
  <si>
    <t>EVAD Payment Received Date</t>
  </si>
  <si>
    <t>EVAD PO #
(to Vendor)</t>
  </si>
  <si>
    <t>EVAD PO Value
(USD)</t>
  </si>
  <si>
    <t>EVAD PO Value
(AED)</t>
  </si>
  <si>
    <t>EVAD PO
Payment Terms</t>
  </si>
  <si>
    <t>Vendor Invoice #</t>
  </si>
  <si>
    <t>Vendor Invoice Date</t>
  </si>
  <si>
    <t>EVAD Payment
Due Date</t>
  </si>
  <si>
    <t>Supplier Payment Terms</t>
  </si>
  <si>
    <t>EVAD Payment</t>
  </si>
  <si>
    <t>Conversion</t>
  </si>
  <si>
    <t>USD=AED</t>
  </si>
  <si>
    <t>USD=SAR</t>
  </si>
  <si>
    <t>SAR=AED</t>
  </si>
  <si>
    <t>(SAR/3.75)*3.6725</t>
  </si>
  <si>
    <t>Omar Swalmeh</t>
  </si>
  <si>
    <t>Omar Abbaas</t>
  </si>
  <si>
    <t>Mahmoud Mohanna</t>
  </si>
  <si>
    <t>Ebrahim Osama</t>
  </si>
  <si>
    <t>Mohammed Abu Serdaneh</t>
  </si>
  <si>
    <t>Saleem Ghazi</t>
  </si>
  <si>
    <t>Ahmad Qudah</t>
  </si>
  <si>
    <t>Ammar Alomairi</t>
  </si>
  <si>
    <t>Project Type</t>
  </si>
  <si>
    <t>New</t>
  </si>
  <si>
    <t>Expansion</t>
  </si>
  <si>
    <t>Renewal</t>
  </si>
  <si>
    <t>PS Only</t>
  </si>
  <si>
    <t>TR Only</t>
  </si>
  <si>
    <t>PS &amp; Training</t>
  </si>
  <si>
    <t>*Dropdown from Source ("V")</t>
  </si>
  <si>
    <t>Sales Team</t>
  </si>
  <si>
    <t>Amani Zeghan</t>
  </si>
  <si>
    <t>Ramy Yakoob</t>
  </si>
  <si>
    <t>Malak Elsaiedy</t>
  </si>
  <si>
    <t>Hamza Majali</t>
  </si>
  <si>
    <t>Zakir Karim</t>
  </si>
  <si>
    <t>Yaser Fadil</t>
  </si>
  <si>
    <t>Contract Expiry Date</t>
  </si>
  <si>
    <t>Any Previous Related Contract #</t>
  </si>
  <si>
    <t xml:space="preserve">Select Project Ref. </t>
  </si>
  <si>
    <t>P-(TRIM Status Open/Win/Loss)_Project #_End User_(Product)-Channel Partner (Project Country)</t>
  </si>
  <si>
    <t>Total GM Amount:</t>
  </si>
  <si>
    <t>GM %:</t>
  </si>
  <si>
    <t>Opex %:</t>
  </si>
  <si>
    <t>Contingency:</t>
  </si>
  <si>
    <t>Buffer:</t>
  </si>
  <si>
    <t>Project Expenses:</t>
  </si>
  <si>
    <t>Net Profit:</t>
  </si>
  <si>
    <t>Loan Interest:</t>
  </si>
  <si>
    <t>Sales Commission:</t>
  </si>
  <si>
    <t>Sales Commission</t>
  </si>
  <si>
    <t>ROI Scoring:</t>
  </si>
  <si>
    <t>Subsidiary % / VAT / WHT / Transfer Fees</t>
  </si>
  <si>
    <t>Revenue</t>
  </si>
  <si>
    <t>Cost</t>
  </si>
  <si>
    <t>ROI &gt; 50% → High Score</t>
  </si>
  <si>
    <t>20–50% → Medium</t>
  </si>
  <si>
    <t>0–20% → Low</t>
  </si>
  <si>
    <t>INSERT INTERACTIVE DASHBOARD (Based on Selected Project Ref. and calculations)</t>
  </si>
  <si>
    <t>EVAD Invoice Billing Code</t>
  </si>
  <si>
    <t>**Pivot ** But Automatic Refresh</t>
  </si>
  <si>
    <t>abrar</t>
  </si>
  <si>
    <t>Due Counter</t>
  </si>
  <si>
    <t>Camms</t>
  </si>
  <si>
    <t>GDTA - PSS</t>
  </si>
  <si>
    <t>INV15930</t>
  </si>
  <si>
    <t>EVAD DED</t>
  </si>
  <si>
    <t>Yes</t>
  </si>
  <si>
    <t>GDTA (PSS)</t>
  </si>
  <si>
    <t xml:space="preserve"> INV-DPM250015</t>
  </si>
  <si>
    <t>Vendor Billing Code</t>
  </si>
  <si>
    <t>Vendor Invoice Value (USD)</t>
  </si>
  <si>
    <t xml:space="preserve">Channel Partner </t>
  </si>
  <si>
    <t>Partner Size
(Based on Channel Partnership Manager)</t>
  </si>
  <si>
    <t>New Contract #</t>
  </si>
  <si>
    <t>Next Renewal Date</t>
  </si>
  <si>
    <t>Note</t>
  </si>
  <si>
    <t xml:space="preserve">**IF TL/CR Expired Send Reminder to send updated documents. </t>
  </si>
  <si>
    <t>Project Status</t>
  </si>
  <si>
    <t>Contract &amp; License Shared</t>
  </si>
  <si>
    <t>Engagement Start</t>
  </si>
  <si>
    <t>Schedule for PS Kick-off</t>
  </si>
  <si>
    <t>On Going PS Implementation</t>
  </si>
  <si>
    <t>Pending Training</t>
  </si>
  <si>
    <t>On Going PS &amp; Pending Training</t>
  </si>
  <si>
    <t>Project Sign-Off</t>
  </si>
  <si>
    <t>Project Sign-Off Completed</t>
  </si>
  <si>
    <t>Project Reconciliation (Outstanding Payment Balance)</t>
  </si>
  <si>
    <t>Progress based on Project Status</t>
  </si>
  <si>
    <t>Project Reconciled</t>
  </si>
  <si>
    <t>with EVAD PS</t>
  </si>
  <si>
    <t>Mala'a Oman Credit &amp; Financial Information Centre</t>
  </si>
  <si>
    <t>TUV Rheinland UAE</t>
  </si>
  <si>
    <t xml:space="preserve">Juffali Group </t>
  </si>
  <si>
    <t>Cyber 50 Defense</t>
  </si>
  <si>
    <t>Emirates Drug Establishment</t>
  </si>
  <si>
    <t>Metropolitan Security S.A.L.</t>
  </si>
  <si>
    <t>General Dictorate of General Security</t>
  </si>
  <si>
    <t>UMNIAH Mobile Company</t>
  </si>
  <si>
    <t>DEVO GULF</t>
  </si>
  <si>
    <t>Al Naham Al Thaqib Technology (NajamTech)</t>
  </si>
  <si>
    <t>Etisalat and (e&amp;)</t>
  </si>
  <si>
    <t>Al Jumhouria Bank</t>
  </si>
  <si>
    <t>Palpay</t>
  </si>
  <si>
    <t>Castling Software</t>
  </si>
  <si>
    <t>Branch of TUV Austria Shanghai Co. LTD</t>
  </si>
  <si>
    <t>Fathallah Market</t>
  </si>
  <si>
    <t>Arada Developments LLC</t>
  </si>
  <si>
    <t>Paypal</t>
  </si>
  <si>
    <t>Entrustment and Liquidation Center (Infath)</t>
  </si>
  <si>
    <t>Mouwasat Medical Services</t>
  </si>
  <si>
    <t>Saudi Irrigation Organization (SIO)</t>
  </si>
  <si>
    <t>Dimension Data Uganda</t>
  </si>
  <si>
    <t>Presidential Guard Command</t>
  </si>
  <si>
    <t>Extra Mile Services</t>
  </si>
  <si>
    <t>Lebanese Armed Forces</t>
  </si>
  <si>
    <t xml:space="preserve">NTT Data Middle East FZ LLC </t>
  </si>
  <si>
    <t>Elinks</t>
  </si>
  <si>
    <t>Mostar IT Solution</t>
  </si>
  <si>
    <t>The National Bank OF Palestine</t>
  </si>
  <si>
    <t>KIMS Health Medical Centre</t>
  </si>
  <si>
    <t>QDS - KSA</t>
  </si>
  <si>
    <t>Royal Commission for Al -Ula</t>
  </si>
  <si>
    <t>Tjdeed Technology</t>
  </si>
  <si>
    <t>Al Quds Bank</t>
  </si>
  <si>
    <t>NBK (Kuwait)</t>
  </si>
  <si>
    <t>Data Sec</t>
  </si>
  <si>
    <t>Themar</t>
  </si>
  <si>
    <t>Abu Odeh Bros. Company</t>
  </si>
  <si>
    <t>OFFTEC Jordan</t>
  </si>
  <si>
    <t>EL SEIF Engineering Contracting</t>
  </si>
  <si>
    <t>Cloud Consultancy for Digitalization &amp; Security (CCDS's)</t>
  </si>
  <si>
    <t>Gulf Insurance Group</t>
  </si>
  <si>
    <t>GMC Clinics</t>
  </si>
  <si>
    <t>Finzey Finance Company</t>
  </si>
  <si>
    <t>Nesma &amp; Partners</t>
  </si>
  <si>
    <t>HIMA Cement</t>
  </si>
  <si>
    <t>Microminder Cyber Security</t>
  </si>
  <si>
    <t>Trade Bank of Iraq</t>
  </si>
  <si>
    <t>Saudi Awwal Bank (SAB)</t>
  </si>
  <si>
    <t>World Wide Technology (WWT)</t>
  </si>
  <si>
    <t>HSBC Bank Middle East Limited</t>
  </si>
  <si>
    <t>ManageIT Limited</t>
  </si>
  <si>
    <t>VRS Technologies LLC</t>
  </si>
  <si>
    <t>Sterling Perfumes Industries LLC</t>
  </si>
  <si>
    <t>BIDCO Africa Limited</t>
  </si>
  <si>
    <t>AlSeraj Islamic Bank</t>
  </si>
  <si>
    <t>Majid Informatic Solutions (Sole Proprietorship LLC)</t>
  </si>
  <si>
    <t>NMC Healthcare</t>
  </si>
  <si>
    <t>Maaden</t>
  </si>
  <si>
    <t>Abrar Communication Co.</t>
  </si>
  <si>
    <t>The King Hussein Cancer Foundation and Center</t>
  </si>
  <si>
    <t>Central Bank of Jordan</t>
  </si>
  <si>
    <t>Neogenesis Technical Solutions</t>
  </si>
  <si>
    <t>Hamad Bin Khalifa University</t>
  </si>
  <si>
    <t>Al-Amjaad Trading and Manufacturing company</t>
  </si>
  <si>
    <t>Safe Box Technologies</t>
  </si>
  <si>
    <t>Eden International FZE</t>
  </si>
  <si>
    <t>Al Taif University</t>
  </si>
  <si>
    <t>Saudi Information Technology Company (SITE)</t>
  </si>
  <si>
    <t>Rizons International (KSA)</t>
  </si>
  <si>
    <t>Oriental Group FZE</t>
  </si>
  <si>
    <t>(BICICI) BANQUE INTERNATIONALE POUR LE COMMERCE ET L INDUSTRIE DE COTE D'IVOIRE</t>
  </si>
  <si>
    <t>American University in Cairo</t>
  </si>
  <si>
    <t>IP Protocol Inc</t>
  </si>
  <si>
    <t>Economic Cities and Special Zones Authority (ECZA)</t>
  </si>
  <si>
    <t>DirectFN</t>
  </si>
  <si>
    <t>Virus Rescuers</t>
  </si>
  <si>
    <t>McDonald's UAE</t>
  </si>
  <si>
    <t>Civil Aviation  Authority (CAA)</t>
  </si>
  <si>
    <t>Go Telecom</t>
  </si>
  <si>
    <t>Tawazun Council</t>
  </si>
  <si>
    <t>General Intelligence Department (GID)</t>
  </si>
  <si>
    <t>Paramount Computer Systems (Paramount Assure)</t>
  </si>
  <si>
    <t xml:space="preserve">STC Bank </t>
  </si>
  <si>
    <t>Dubai Land Department</t>
  </si>
  <si>
    <t>Deyaar</t>
  </si>
  <si>
    <t>General Authority for Statistics</t>
  </si>
  <si>
    <t>Ministry of Digital Economy &amp; Entrepreneurship (MoDEE)</t>
  </si>
  <si>
    <t>Anazeem Technology Company</t>
  </si>
  <si>
    <t>Wipro</t>
  </si>
  <si>
    <t>Site Technology Jeddah</t>
  </si>
  <si>
    <t>Sahara Net</t>
  </si>
  <si>
    <t>RNS Technologies</t>
  </si>
  <si>
    <t>MIS - Al Moammar Information Systems Co.</t>
  </si>
  <si>
    <t>IT Belt Company</t>
  </si>
  <si>
    <t>Innovative Solutions</t>
  </si>
  <si>
    <t>Intertec Systems</t>
  </si>
  <si>
    <t>Ejada Systems Company</t>
  </si>
  <si>
    <t>Delta Line International LLC</t>
  </si>
  <si>
    <t>Cubit Technologies LLC</t>
  </si>
  <si>
    <t>Anmat Co. HQ</t>
  </si>
  <si>
    <t>Al-Jeraisy Group</t>
  </si>
  <si>
    <t>Al-Hilal Saudi FC</t>
  </si>
  <si>
    <t>Accelerated Solutions Group (ASG)</t>
  </si>
  <si>
    <t>Hamad International Airport</t>
  </si>
  <si>
    <t>CS Mena</t>
  </si>
  <si>
    <t>MMA InfoSec</t>
  </si>
  <si>
    <t>UNIT</t>
  </si>
  <si>
    <t>Ooredoo Oman</t>
  </si>
  <si>
    <t>Tech Mahindra Limited</t>
  </si>
  <si>
    <t xml:space="preserve">IBM World Trade Corp </t>
  </si>
  <si>
    <t>Saudi Iron &amp; Steel Company</t>
  </si>
  <si>
    <t>Front Line</t>
  </si>
  <si>
    <t>Agricultural Credit Corporation</t>
  </si>
  <si>
    <t>Sharjah Education Academy (SEA)</t>
  </si>
  <si>
    <t>Business Management Company (BMC)</t>
  </si>
  <si>
    <t>Prince Sultan Military Medical City(PSMMC)</t>
  </si>
  <si>
    <t>Loyalty Support Services (LSS)</t>
  </si>
  <si>
    <t>Banque Saudi Fransi</t>
  </si>
  <si>
    <t>Almarai</t>
  </si>
  <si>
    <t>Cyberfender</t>
  </si>
  <si>
    <t>Pepsi Cola International Limited</t>
  </si>
  <si>
    <t>Al Rajhi Bank</t>
  </si>
  <si>
    <t>Government Communications Office (GCO)</t>
  </si>
  <si>
    <t>Bahwan IT LLC</t>
  </si>
  <si>
    <t xml:space="preserve">Nama Electricity Distribution Company </t>
  </si>
  <si>
    <t xml:space="preserve">Ampcus Cyber Inc. </t>
  </si>
  <si>
    <t>FourCore</t>
  </si>
  <si>
    <t>International Development Company LLC</t>
  </si>
  <si>
    <t>The Royal Hashemite Court (RHC)</t>
  </si>
  <si>
    <t>K-Soft Company WLL (A Kanoo Enterprise)</t>
  </si>
  <si>
    <t>Magrabi Health</t>
  </si>
  <si>
    <t xml:space="preserve">Dar Al Riyadh Group </t>
  </si>
  <si>
    <t xml:space="preserve">Salam Mobile </t>
  </si>
  <si>
    <t>Emdad CCS</t>
  </si>
  <si>
    <t>Romuz Technologies for Cybersecurity</t>
  </si>
  <si>
    <t>Rasan</t>
  </si>
  <si>
    <t>Arab Satellite Communications Organization (ARABSAT)</t>
  </si>
  <si>
    <t>Africa Institute UAE (GSU)</t>
  </si>
  <si>
    <t>Crystel Co.</t>
  </si>
  <si>
    <t>Bahrain Business Machines W.L.L. (GBM Bahrain)</t>
  </si>
  <si>
    <t>Integrated Networks Co. LTD (Inet)</t>
  </si>
  <si>
    <t xml:space="preserve">Construction Products Holding Company (CPC)  </t>
  </si>
  <si>
    <t>Almajdouie Holding</t>
  </si>
  <si>
    <t>Rizons International (BAH)</t>
  </si>
  <si>
    <t>Bahrain Customs</t>
  </si>
  <si>
    <t>Technology Control Company</t>
  </si>
  <si>
    <t>National Company for Mechanical Systems(NCMS)</t>
  </si>
  <si>
    <t>Najm Insurance Services Company</t>
  </si>
  <si>
    <t>Ministry Of Sports And Youth (MOSY)</t>
  </si>
  <si>
    <t>Jordan Design &amp; Development Bureau (JODDB)</t>
  </si>
  <si>
    <t>Military Credit Fun</t>
  </si>
  <si>
    <t>Alpha Data</t>
  </si>
  <si>
    <t>Simah Saudi Credit Bureau</t>
  </si>
  <si>
    <t>Sukhtian Group</t>
  </si>
  <si>
    <t>Bank of Jordan</t>
  </si>
  <si>
    <t>Protech</t>
  </si>
  <si>
    <t>TOTCI Technologies</t>
  </si>
  <si>
    <t>Avrioc</t>
  </si>
  <si>
    <t>General Directorate of Civil Defense (GDCD)</t>
  </si>
  <si>
    <t>Qatar Financial Markets Authority (QFMA)</t>
  </si>
  <si>
    <t>Solutions by STC</t>
  </si>
  <si>
    <t>Ministry of Defense (KSA)</t>
  </si>
  <si>
    <t>Housing Bank -Palestine</t>
  </si>
  <si>
    <t>Prosecure</t>
  </si>
  <si>
    <t>Forus Investment</t>
  </si>
  <si>
    <t>General Security Aviation Command (GCSA)</t>
  </si>
  <si>
    <t>International Golden Group PJSC</t>
  </si>
  <si>
    <t>Mukita FZCO</t>
  </si>
  <si>
    <t xml:space="preserve">Ministry of Interior </t>
  </si>
  <si>
    <t>Crif Jordan</t>
  </si>
  <si>
    <t>Cloudmates</t>
  </si>
  <si>
    <t>Deytek Bilisim Muhendisik San. Ve Tic. A.S. (FILEORBIS)</t>
  </si>
  <si>
    <t xml:space="preserve">Gulf Air Group </t>
  </si>
  <si>
    <t>Saudi Council of Engineers</t>
  </si>
  <si>
    <t>Zain Saudi Arabia</t>
  </si>
  <si>
    <t>Seniors IT (Jordan)</t>
  </si>
  <si>
    <t>ALIA ICT</t>
  </si>
  <si>
    <t>Al Ayuni Investment And Contracting Co.</t>
  </si>
  <si>
    <t>National Electric Power Company (NEPCO)</t>
  </si>
  <si>
    <t>Jordanian Electric Power Co (JEPCO)</t>
  </si>
  <si>
    <t>King Fahad Medical City (KFMC)</t>
  </si>
  <si>
    <t>Jordanian Armed Forces (JAF)</t>
  </si>
  <si>
    <t>EnergyTech</t>
  </si>
  <si>
    <t>Ministry of Works</t>
  </si>
  <si>
    <t>Authority for the Care of People with Disabilities (APD)</t>
  </si>
  <si>
    <t xml:space="preserve"> Safran HAL Aircrafts Engines Private Limited</t>
  </si>
  <si>
    <t>Royal Saudi Naval Forces(RSNF)</t>
  </si>
  <si>
    <t>Mirfa International Power &amp; Water Company (MIPCO)</t>
  </si>
  <si>
    <t>Etihad Bank</t>
  </si>
  <si>
    <t>Advanced Beam Company For Management &amp; Operation of Computer Facilities (Pulse 01)</t>
  </si>
  <si>
    <t>Irbid District Electricity Company(IDECO)</t>
  </si>
  <si>
    <t>Resilience Co.</t>
  </si>
  <si>
    <t>Jordan Business Systems (JBS)</t>
  </si>
  <si>
    <t>Saudi Emircom Company</t>
  </si>
  <si>
    <t>Gulf Consolidated Contractors Co. (GCC)</t>
  </si>
  <si>
    <t>Interactive creativity For Information Technology</t>
  </si>
  <si>
    <t>Hawsabah</t>
  </si>
  <si>
    <t>IQTAN Global For Cloud &amp; Digital Computing Systems (Digital Okta LLC)</t>
  </si>
  <si>
    <t>Kasih Food Production Co</t>
  </si>
  <si>
    <t>FileOrbis FZ-LLC</t>
  </si>
  <si>
    <t>Emitac Enterprise Solutions</t>
  </si>
  <si>
    <t>The Education,Human Development and Community Development Council (EHDCDC)</t>
  </si>
  <si>
    <t>Future Vision of Technology and Information</t>
  </si>
  <si>
    <t>NETS International Coomunication Pvt Ltd</t>
  </si>
  <si>
    <t>Crown Prince Private Affairs (CPPA)</t>
  </si>
  <si>
    <t>Advanced Technologies</t>
  </si>
  <si>
    <t>Shass General Trading LLC</t>
  </si>
  <si>
    <t>Mutah University</t>
  </si>
  <si>
    <t>Research Development and Innovation Authority (RDIA)</t>
  </si>
  <si>
    <t>Supreme Committee for Delivery and Legacy</t>
  </si>
  <si>
    <t>CPX HOLDING - L.L.C - O.P.C</t>
  </si>
  <si>
    <t>Mawarid Electronics LTD. (MEL)</t>
  </si>
  <si>
    <t>HighPoint Technology</t>
  </si>
  <si>
    <t>Digital Team Company</t>
  </si>
  <si>
    <t>Matcom-IT</t>
  </si>
  <si>
    <t>Computer Direct Access</t>
  </si>
  <si>
    <t>Business Management Networks Co. LTD (BM Networks)</t>
  </si>
  <si>
    <t>Axelerated Solutions</t>
  </si>
  <si>
    <t>Cloud Distribution</t>
  </si>
  <si>
    <t>Global Tec</t>
  </si>
  <si>
    <t>GulfNet Solutions Company Limited(GNS)</t>
  </si>
  <si>
    <t>Dar Al-Ehtemam Trading Est. (DAT)</t>
  </si>
  <si>
    <t>Tech Bin Omah Integrated Solutions</t>
  </si>
  <si>
    <t>Moxmom Information Technology Est.</t>
  </si>
  <si>
    <t>Alwaneh Exchange</t>
  </si>
  <si>
    <t>Help Information Technology Consultancy LLC ( HelpAG)</t>
  </si>
  <si>
    <t>BMA International FZE</t>
  </si>
  <si>
    <t>Mindfire Technologies LLC</t>
  </si>
  <si>
    <t>SAAR Information Technology</t>
  </si>
  <si>
    <t>National Infrastructure Fund</t>
  </si>
  <si>
    <t>Medica</t>
  </si>
  <si>
    <t>Cloudmon by Veryx Technologies Inc. (Cloudmon Technologies)</t>
  </si>
  <si>
    <t>Ministry of Foreigh Affairs (MOFA)</t>
  </si>
  <si>
    <t>Nawah Energy Company</t>
  </si>
  <si>
    <t>Core42 Technology Projects L.L.C.</t>
  </si>
  <si>
    <t xml:space="preserve">LogicVein Inc. </t>
  </si>
  <si>
    <t>Datapatrol Computer Systems &amp; Software Trading LLC</t>
  </si>
  <si>
    <t>TGT-Edgo Oil and Gas Services</t>
  </si>
  <si>
    <t>Edgo Jordan</t>
  </si>
  <si>
    <t>Royal Saudi Land Forces (RSLF)</t>
  </si>
  <si>
    <t>MDS For Computer Systems (KSA)</t>
  </si>
  <si>
    <t>Ministry of Finance of Somalia</t>
  </si>
  <si>
    <t>Farsight Africa</t>
  </si>
  <si>
    <t>Ebttikar Technology Co</t>
  </si>
  <si>
    <t>Hashtag Technology</t>
  </si>
  <si>
    <t>Global Business Solutions Co. Ltd (GBS)</t>
  </si>
  <si>
    <t>Special Emergency Forces (SEF)</t>
  </si>
  <si>
    <t>Ministry of Industry and Mineral Resources (MIM)</t>
  </si>
  <si>
    <t>Atria Solutions SAL Lebanon</t>
  </si>
  <si>
    <t>National Energy Services Company (Tarshid)</t>
  </si>
  <si>
    <t>Bulwark Technologies LLC</t>
  </si>
  <si>
    <t>Advanced Electronics Company Limited (AECL)</t>
  </si>
  <si>
    <t>RevBits</t>
  </si>
  <si>
    <t>Fourth Dimension Systems (FDS)</t>
  </si>
  <si>
    <t xml:space="preserve">Jordan Water Company – Miyahuna LLC  </t>
  </si>
  <si>
    <t>Exclusive Networks Middle East</t>
  </si>
  <si>
    <t>Standard Technology  (JAWRAA)</t>
  </si>
  <si>
    <t>Holy Makkah Municipality</t>
  </si>
  <si>
    <t>Company AL-DAM ELMUTAGDEM For Cybersecurity</t>
  </si>
  <si>
    <t>Riyadh Infrastructure Projects Center (RIPC)</t>
  </si>
  <si>
    <t>Saudi Royal Navy</t>
  </si>
  <si>
    <t>General Authority for Military Industries (GAMI)</t>
  </si>
  <si>
    <t>NX Digital Technology</t>
  </si>
  <si>
    <t>Techlynx Solutions Technology LLC</t>
  </si>
  <si>
    <t>PureCS</t>
  </si>
  <si>
    <t>Strike Ready</t>
  </si>
  <si>
    <t>Saudi Arabian National Guard (SANG)</t>
  </si>
  <si>
    <t>King Fahad Militay Medical Complex (KFMMC)</t>
  </si>
  <si>
    <t>AlMada</t>
  </si>
  <si>
    <t>Company Al-Dam Elmutagdem For Cybersecurity (ASC)</t>
  </si>
  <si>
    <t>Sharjah Broadcasting Authority (SBA)</t>
  </si>
  <si>
    <t>Saudi Airlines</t>
  </si>
  <si>
    <t>Qiddiya Investment Company</t>
  </si>
  <si>
    <t>Public Investment Fund (PIF)</t>
  </si>
  <si>
    <t>Ministry of Hajj and Umrah</t>
  </si>
  <si>
    <t>King Salman Global Academy for Arabic Language (KSAA)</t>
  </si>
  <si>
    <t>Imam University</t>
  </si>
  <si>
    <t>GenX Systems LLC</t>
  </si>
  <si>
    <t>Perfect Presentation(2P)</t>
  </si>
  <si>
    <t>Certinety</t>
  </si>
  <si>
    <t>United Computer &amp; Management Consultancy Company</t>
  </si>
  <si>
    <t>Concord Insurance Brokerage</t>
  </si>
  <si>
    <t>Aramys</t>
  </si>
  <si>
    <t>Al-Moammar Information Systems</t>
  </si>
  <si>
    <t>Qatar Datamation Systems (QDS)</t>
  </si>
  <si>
    <t xml:space="preserve">Warba Bank </t>
  </si>
  <si>
    <t>Synaptic Technologies</t>
  </si>
  <si>
    <t>Abdulrahman A. Al-Moussa Trading Co. Ltd,(3ANet)</t>
  </si>
  <si>
    <t xml:space="preserve">Naseej Arabian Advanced Systems </t>
  </si>
  <si>
    <t>EVAD-ME For Computer &amp; Data Processing Requisites Trading Co. LLC</t>
  </si>
  <si>
    <t>Cell Information Technology</t>
  </si>
  <si>
    <t>Unicorp Technologies LLC</t>
  </si>
  <si>
    <t>Meeza</t>
  </si>
  <si>
    <t>Supreme Judicial Council (SJC)</t>
  </si>
  <si>
    <t>Ministry of Energy and Mineral Resources</t>
  </si>
  <si>
    <t>Investment funds Social Security Fund(SSIF)</t>
  </si>
  <si>
    <t>Saudi Industrial Development Fund( SIDF)</t>
  </si>
  <si>
    <t>Nuclear and Radiological Regulatory Commission(NRRC)</t>
  </si>
  <si>
    <t>Saudi Paramount Computer Systems(SPCS)</t>
  </si>
  <si>
    <t>Dark Beam LTD</t>
  </si>
  <si>
    <t xml:space="preserve">The Saudi National Bank (SNB) </t>
  </si>
  <si>
    <t>NahilTech</t>
  </si>
  <si>
    <t>Rabigh Arabian Water &amp; Electricity Company, Ltd. (RAWEC)</t>
  </si>
  <si>
    <t>Swift-IT</t>
  </si>
  <si>
    <t>Diyar Middle East W.L.L.</t>
  </si>
  <si>
    <t>Arkad Engineering &amp; Construction Company</t>
  </si>
  <si>
    <t>The General Authority for Defense Development (GADD)</t>
  </si>
  <si>
    <t>Sealpath Technologies S.L.</t>
  </si>
  <si>
    <t>ROYAL COMMISSION FOR JUBAIL AND YANBU (RCJY)</t>
  </si>
  <si>
    <t xml:space="preserve">Social Security Corporation </t>
  </si>
  <si>
    <t>Saudi Business Machines (SBM)</t>
  </si>
  <si>
    <t>Abdali Hospital</t>
  </si>
  <si>
    <t>Amanat Al Jouf</t>
  </si>
  <si>
    <t>Awqaf</t>
  </si>
  <si>
    <t xml:space="preserve">Public Prosecution </t>
  </si>
  <si>
    <t>Presight AI - Core2 Technology Projects LLC</t>
  </si>
  <si>
    <t>Seven Seas Technology LLC</t>
  </si>
  <si>
    <t>Global Technologies (GT)</t>
  </si>
  <si>
    <t>Sirar by STC</t>
  </si>
  <si>
    <t>Sejel Technology</t>
  </si>
  <si>
    <t>National Center of Meteorology(NCM)</t>
  </si>
  <si>
    <t>Ministry of Defence Oman (MOD)</t>
  </si>
  <si>
    <t>Saudi Technology and Security Comprehensive Control Co. Ltd. (Tahakom)</t>
  </si>
  <si>
    <t>International Information Technology Co. LLC (IITC)</t>
  </si>
  <si>
    <t>Arabian Centres</t>
  </si>
  <si>
    <t>Connect Professional Services</t>
  </si>
  <si>
    <t>Looppe Designs &amp; Technology</t>
  </si>
  <si>
    <t>Ministry of National Guard Health Affairs(MNGHA)</t>
  </si>
  <si>
    <t>Defense Solutions Company for Cybersecurity (CYBERUM)</t>
  </si>
  <si>
    <t>Sure Global Tech</t>
  </si>
  <si>
    <t>Abdulla Fouad Infotech Division</t>
  </si>
  <si>
    <t>Saudi Arabian Military Industries (SAMI)</t>
  </si>
  <si>
    <t>Saudi Press Agency (SPA)</t>
  </si>
  <si>
    <t>Alkafaa Net</t>
  </si>
  <si>
    <t>Touch</t>
  </si>
  <si>
    <t>Electronic Health Solutions Co (EHS)</t>
  </si>
  <si>
    <t>Attria Solutions</t>
  </si>
  <si>
    <t>Crystal International Technology Company (CIT)</t>
  </si>
  <si>
    <t>The Presidency of State Security (PSS)</t>
  </si>
  <si>
    <t>Al Rajhi Takaful</t>
  </si>
  <si>
    <t>Cyber Shield</t>
  </si>
  <si>
    <t>Government of Sharjah (Social Services Department)</t>
  </si>
  <si>
    <t>Palestine Islamic Bank</t>
  </si>
  <si>
    <t>NGT Technology LLC</t>
  </si>
  <si>
    <t>Specialized Technical Services (STS)</t>
  </si>
  <si>
    <t>Electrobras</t>
  </si>
  <si>
    <t xml:space="preserve">Jordan Mobile Telephone Services (Zain Jordan) </t>
  </si>
  <si>
    <t>Al Yusr</t>
  </si>
  <si>
    <t>Real Estate Development Fund</t>
  </si>
  <si>
    <t>Barraq Finance Company</t>
  </si>
  <si>
    <t>Dubai National Insurance</t>
  </si>
  <si>
    <t>Senhasegura USA LLC</t>
  </si>
  <si>
    <t xml:space="preserve">Mimecast Services Ltd </t>
  </si>
  <si>
    <t>Bank Of The Union Burkina Faso</t>
  </si>
  <si>
    <t>Procom Technologies</t>
  </si>
  <si>
    <t>General Food Security Authority (GFSA)</t>
  </si>
  <si>
    <t>Saudi Food and Drug Authority(SFDA)</t>
  </si>
  <si>
    <t>Barq Systems</t>
  </si>
  <si>
    <t>Nour Internet for Communications &amp; IT</t>
  </si>
  <si>
    <t>Alnafitha IT</t>
  </si>
  <si>
    <t>Efficient IP SAS</t>
  </si>
  <si>
    <t>Zahran Holding</t>
  </si>
  <si>
    <t>Global Metrics Solutions</t>
  </si>
  <si>
    <t>Social Development Bank(SDB)</t>
  </si>
  <si>
    <t>Anjum Hotel</t>
  </si>
  <si>
    <t>Jeraisy Computer and Communication Services Co</t>
  </si>
  <si>
    <t>The General Authority for Defense Development(GADD HQ)</t>
  </si>
  <si>
    <t>Saudi Investment Recycling Company(SIRC)</t>
  </si>
  <si>
    <t>Datapatrol LLC-FZ</t>
  </si>
  <si>
    <t>Exequt</t>
  </si>
  <si>
    <t>Borascale SARL</t>
  </si>
  <si>
    <t>Saudi Royal Aviation(SRA)</t>
  </si>
  <si>
    <t>Lebara Mobiles</t>
  </si>
  <si>
    <t>Al Falak Networking &amp; Security</t>
  </si>
  <si>
    <t>Tanmiah - National Program For Community Development</t>
  </si>
  <si>
    <t>Acalvio Technologies, INC</t>
  </si>
  <si>
    <t>MAQARAT -The Royal Court</t>
  </si>
  <si>
    <t>NGN International WLL</t>
  </si>
  <si>
    <t>Al Mada Solution and Services WLL</t>
  </si>
  <si>
    <t xml:space="preserve">Mascom Wireless Botswana (Pty) Ltd. </t>
  </si>
  <si>
    <t>Jazan University</t>
  </si>
  <si>
    <t>National Water Company (NWC)</t>
  </si>
  <si>
    <t>Rabigh Refining &amp; Petrochemical Co.</t>
  </si>
  <si>
    <t xml:space="preserve">Cloud9 </t>
  </si>
  <si>
    <t>Emirates Catering</t>
  </si>
  <si>
    <t xml:space="preserve">Alfanar </t>
  </si>
  <si>
    <t>ASNA Company For Advanced Technology Ltd</t>
  </si>
  <si>
    <t>Cloud Shield</t>
  </si>
  <si>
    <t>Presidence Du Mali</t>
  </si>
  <si>
    <t>Dynamic System Solution</t>
  </si>
  <si>
    <t>The Saudi Red Crescent Authority HQ (SRCA)</t>
  </si>
  <si>
    <t>Securenass</t>
  </si>
  <si>
    <t>General Organization for Social Insurance (GOSI)</t>
  </si>
  <si>
    <t>Secure Net</t>
  </si>
  <si>
    <t>Premium Residency</t>
  </si>
  <si>
    <t>Ministry of Islamic Affairs (MOIA)</t>
  </si>
  <si>
    <t>Ministry of Sport</t>
  </si>
  <si>
    <t>Emirates Institute of Finance (EIF)</t>
  </si>
  <si>
    <t>Jeddah Chamber (JCCI)</t>
  </si>
  <si>
    <t>Qatar Computer Services W.L.L. (QCS)</t>
  </si>
  <si>
    <t>Zain Bahrain</t>
  </si>
  <si>
    <t>ITC Salam</t>
  </si>
  <si>
    <t>Qatar Olympic Committee</t>
  </si>
  <si>
    <t>Mustafa Sultan Office Technology Co. L.L.C.</t>
  </si>
  <si>
    <t>Boubyan Bank</t>
  </si>
  <si>
    <t>Network Distributors FZ LLC</t>
  </si>
  <si>
    <t xml:space="preserve">Supreme Judicial Council </t>
  </si>
  <si>
    <t>Naizak Global Engineering Systems</t>
  </si>
  <si>
    <t>Qatar News Agency</t>
  </si>
  <si>
    <t>Digital Okta LLC</t>
  </si>
  <si>
    <t>Agricultural Development Fund</t>
  </si>
  <si>
    <t>Trusted Security Solutions (TSS)</t>
  </si>
  <si>
    <t>University of Sharjah</t>
  </si>
  <si>
    <t>Statistics Centre Abu Dhabi (SCAD)</t>
  </si>
  <si>
    <t>Sharjah Broadcasting Authority</t>
  </si>
  <si>
    <t>Saudi Center for International Strategic Partnerships (SCIP)</t>
  </si>
  <si>
    <t>G42 Cloud Technology</t>
  </si>
  <si>
    <t xml:space="preserve">Etihad Water &amp; Electricity (FEWA) </t>
  </si>
  <si>
    <t>Emirates NBD</t>
  </si>
  <si>
    <t>Emirates Schools Establishment</t>
  </si>
  <si>
    <t>Department of Municipalities and Transport (DMT)</t>
  </si>
  <si>
    <t>Dubai Media Incorporated (DMI)</t>
  </si>
  <si>
    <t>Dubai Health Authority</t>
  </si>
  <si>
    <t xml:space="preserve">Anwar Gargash Diplomatic Academy </t>
  </si>
  <si>
    <t>Abu Dhabi Falcon Hospital</t>
  </si>
  <si>
    <t>Military Intelligence Directorate</t>
  </si>
  <si>
    <t>Qatar Khalij Bank</t>
  </si>
  <si>
    <t>Saudi Water Partnership Company (SWPC)</t>
  </si>
  <si>
    <t>Ooredoo Q.P.S.C.</t>
  </si>
  <si>
    <t>Ministry of Communications and Information Technology (MCIT)</t>
  </si>
  <si>
    <t>Quds Bank</t>
  </si>
  <si>
    <t>Oman Arab Bank</t>
  </si>
  <si>
    <t>NID</t>
  </si>
  <si>
    <t>Mustafa Sultan</t>
  </si>
  <si>
    <t>Zamil Industries</t>
  </si>
  <si>
    <t>Zakat, Tax and Customs Authority (ZATCA)</t>
  </si>
  <si>
    <t xml:space="preserve">The National Information Center (NIC - SDAIA) </t>
  </si>
  <si>
    <t>SWPC (Saudi Water Partnership Company)</t>
  </si>
  <si>
    <t>STC Pay</t>
  </si>
  <si>
    <t>Shoura Council</t>
  </si>
  <si>
    <t>Saudi Geological Survey (SGS)</t>
  </si>
  <si>
    <t>Saudi Electricity Company (SEC)</t>
  </si>
  <si>
    <t>Egyptian Drug Authority</t>
  </si>
  <si>
    <t>Saudi Aramco Mobil Refinery Company Ltd (SAMREF)</t>
  </si>
  <si>
    <t>The Saudi Grains Organization (SAGO)</t>
  </si>
  <si>
    <t>Saudia Aerospace Engineering Industries (SAEI)</t>
  </si>
  <si>
    <t>SAAB</t>
  </si>
  <si>
    <t>Royal Private Affairs (RPA)</t>
  </si>
  <si>
    <t>Rawabi Holding Tower</t>
  </si>
  <si>
    <t xml:space="preserve">
Presidency of State Security HQ</t>
  </si>
  <si>
    <t>Princess Nourah University (PNU)</t>
  </si>
  <si>
    <t>National Security Center (NSC)</t>
  </si>
  <si>
    <t>National Risk Unit (NRU)</t>
  </si>
  <si>
    <t>NAZAHA</t>
  </si>
  <si>
    <t>Secure Neworks</t>
  </si>
  <si>
    <t>National Defense College (NDC)</t>
  </si>
  <si>
    <t>National Commercial Bank</t>
  </si>
  <si>
    <t xml:space="preserve">Axios International </t>
  </si>
  <si>
    <t xml:space="preserve">Ministry Of Defense </t>
  </si>
  <si>
    <t>Matarat Holding</t>
  </si>
  <si>
    <t>MASCO</t>
  </si>
  <si>
    <t>Masar Finance</t>
  </si>
  <si>
    <t>Makeen - Saudi Engines Manufacturing Company</t>
  </si>
  <si>
    <t>King Khaled Eye Specialist Hospital (KKESH)</t>
  </si>
  <si>
    <t>King Abdullah University of Science and Technology (KAUST)</t>
  </si>
  <si>
    <t>King Abdullah Financial District (KAFD)</t>
  </si>
  <si>
    <t>Kafalah</t>
  </si>
  <si>
    <t>AmiViz DMCC</t>
  </si>
  <si>
    <t xml:space="preserve">AmiViz </t>
  </si>
  <si>
    <t>Jeddah Municipality</t>
  </si>
  <si>
    <t>Ithra</t>
  </si>
  <si>
    <t>Islamic University of Madinah</t>
  </si>
  <si>
    <t>Salam</t>
  </si>
  <si>
    <t>General Intellegenced Presidency</t>
  </si>
  <si>
    <t>General Authority of Civil Aviation (GACA)</t>
  </si>
  <si>
    <t>General Court of Audit (GCA)</t>
  </si>
  <si>
    <t>National Gas and Industrialization Company</t>
  </si>
  <si>
    <t>Flyadeal Airlines LLC</t>
  </si>
  <si>
    <t>Facilities Security Forces (FSF)</t>
  </si>
  <si>
    <t>Saudi Exim Bank</t>
  </si>
  <si>
    <t>Edarat Group</t>
  </si>
  <si>
    <t>Eastern Province Amana (E-AMANA)</t>
  </si>
  <si>
    <t>Eastern Cement</t>
  </si>
  <si>
    <t>Diriyah Gate ‍Development Authority (DGDA)</t>
  </si>
  <si>
    <t>Crown Prince Private Affairs</t>
  </si>
  <si>
    <t>Cigalah Group</t>
  </si>
  <si>
    <t xml:space="preserve">Bayan Credit Bureau </t>
  </si>
  <si>
    <t>Arabian Drilling</t>
  </si>
  <si>
    <t>American Express Saudi Arabia (Amex)</t>
  </si>
  <si>
    <t>Al Amthal Financing Company</t>
  </si>
  <si>
    <t>ADAA The National Center for Performance Management</t>
  </si>
  <si>
    <t>Jordan Telecommunications Company (Orange Jordan)</t>
  </si>
  <si>
    <t>Fibertech</t>
  </si>
  <si>
    <t>Orange Egypt</t>
  </si>
  <si>
    <t>National Bank of Kuwait(NBK)</t>
  </si>
  <si>
    <t xml:space="preserve">Converged Generation Communications Company Ltd (CGC) </t>
  </si>
  <si>
    <t>STC Bahrain</t>
  </si>
  <si>
    <t>Bahrain Telecommunications Company (Batelco)</t>
  </si>
  <si>
    <t>Emirates Business Machines LLC- AUH (EBM)</t>
  </si>
  <si>
    <t>Accedian Networks</t>
  </si>
  <si>
    <t>Al Falak Electronic Equipment Supplies Co.</t>
  </si>
  <si>
    <t>Gulf Business Machines GBM LLC</t>
  </si>
  <si>
    <t>Infratech Co For Communications and IT</t>
  </si>
  <si>
    <t>Haboob Cybersecurity Services Company</t>
  </si>
  <si>
    <t>GEER Information and Communications Technology CO.</t>
  </si>
  <si>
    <t>Help Security Solutions For Telecommunications and Information Technology Co. (HelpAG)</t>
  </si>
  <si>
    <t>Art Arabia Company</t>
  </si>
  <si>
    <t>Al Mada Smart for Communication</t>
  </si>
  <si>
    <t>Emircom LLC</t>
  </si>
  <si>
    <t>Simpra Advanced Technology</t>
  </si>
  <si>
    <t>Dimension Data Mena</t>
  </si>
  <si>
    <t>Specialized Technologies</t>
  </si>
  <si>
    <t>Seniors IT (Qatar)</t>
  </si>
  <si>
    <t>Beta IT - Information Technology Co. LLC</t>
  </si>
  <si>
    <t>Infinet Solutions</t>
  </si>
  <si>
    <t>Ras Ambition International Contracting Company LTD</t>
  </si>
  <si>
    <t>Techpace Technology Services</t>
  </si>
  <si>
    <t>Elite Horizon For Communications and Information Technology</t>
  </si>
  <si>
    <t>Baud Telecom Company (BTC Networks)</t>
  </si>
  <si>
    <t>Dubai Chamber of Commerce and Industry (DCCI)</t>
  </si>
  <si>
    <t>Mannai Trading Co. W.L.L</t>
  </si>
  <si>
    <t>Rwanda Information Society Authority (RISA)</t>
  </si>
  <si>
    <t>Xacta Business Solutions</t>
  </si>
  <si>
    <t>Rafal Tech</t>
  </si>
  <si>
    <t>Evad DWC- LLC</t>
  </si>
  <si>
    <t>Creative Mind</t>
  </si>
  <si>
    <t>Digital &amp; Security Shield (DSSHIELD)</t>
  </si>
  <si>
    <t>Security Matterz</t>
  </si>
  <si>
    <t>SAMI Advanced Electronics</t>
  </si>
  <si>
    <t>SMART Technology Solution</t>
  </si>
  <si>
    <t>Nanjgel Solutions</t>
  </si>
  <si>
    <t>My Clinic International Medical Company Limited</t>
  </si>
  <si>
    <t xml:space="preserve">Dar Beta Information Technology Co. </t>
  </si>
  <si>
    <t>Computer World International Co. Ltd (CWI)</t>
  </si>
  <si>
    <t>Sekom Iletism Sistemleri San VE Tic A.S</t>
  </si>
  <si>
    <t xml:space="preserve">Sanlam Insurance </t>
  </si>
  <si>
    <t>United Financial Investments Co- UFICO</t>
  </si>
  <si>
    <t>Shabkati Network Solutions</t>
  </si>
  <si>
    <t xml:space="preserve">Royal Medical Service </t>
  </si>
  <si>
    <t xml:space="preserve">Dubai Municipality </t>
  </si>
  <si>
    <t xml:space="preserve">Cybergate </t>
  </si>
  <si>
    <t xml:space="preserve">Gerab System Solutions </t>
  </si>
  <si>
    <t xml:space="preserve">Lebanese Armed Forces </t>
  </si>
  <si>
    <t xml:space="preserve">Extra Mile Services </t>
  </si>
  <si>
    <t xml:space="preserve">Saudi Cargo </t>
  </si>
  <si>
    <t>Computer &amp; Software Commercial Center Co. (CompuSOFT)</t>
  </si>
  <si>
    <t xml:space="preserve">Jordan Commercial Bank </t>
  </si>
  <si>
    <t>Quantum Information Technology</t>
  </si>
  <si>
    <t>National Emergency and Crisis Management Authority</t>
  </si>
  <si>
    <t>Zayed Military College</t>
  </si>
  <si>
    <t>CyberX Technology LLC</t>
  </si>
  <si>
    <t>Al Baraka Bank Syria</t>
  </si>
  <si>
    <t>Trustify LLC</t>
  </si>
  <si>
    <t>Banque Bemo</t>
  </si>
  <si>
    <t>Advanced Electronics Co. LTD (AECL)</t>
  </si>
  <si>
    <t xml:space="preserve">RAFED - Transportation Services Company </t>
  </si>
  <si>
    <t>Ministry of Education</t>
  </si>
  <si>
    <t xml:space="preserve">Menaveb </t>
  </si>
  <si>
    <t xml:space="preserve">Invest Bank </t>
  </si>
  <si>
    <t>Medhyacom Technology</t>
  </si>
  <si>
    <t>The Saudi Investment Bank</t>
  </si>
  <si>
    <t>SamaWave Innovative IT Solutions</t>
  </si>
  <si>
    <t>National Cyber Security Centre</t>
  </si>
  <si>
    <t>Computer Center Tanzania</t>
  </si>
  <si>
    <t xml:space="preserve">National Security Operations Center MSSP </t>
  </si>
  <si>
    <t>RAK Chamber Of Commerce And Industry</t>
  </si>
  <si>
    <t xml:space="preserve">Cyber security Council </t>
  </si>
  <si>
    <t xml:space="preserve">Ford Aljazirah </t>
  </si>
  <si>
    <t xml:space="preserve">Egyptian Arab Land Bank </t>
  </si>
  <si>
    <t xml:space="preserve">Royal Court Affairs (RCA) - Oman </t>
  </si>
  <si>
    <t>TUV Rheinland L.L.C. Oman</t>
  </si>
  <si>
    <t>National Finance</t>
  </si>
  <si>
    <t xml:space="preserve">Coherence Global Technology </t>
  </si>
  <si>
    <t>Al Jouf University</t>
  </si>
  <si>
    <t>Artech international</t>
  </si>
  <si>
    <t>Bahwan Engineering Company LLC</t>
  </si>
  <si>
    <t xml:space="preserve">Khairat Al Abar Al-Iraqiya </t>
  </si>
  <si>
    <t>Saman Cement</t>
  </si>
  <si>
    <t>Jordan University of Science &amp; Technology (JUST)</t>
  </si>
  <si>
    <t xml:space="preserve">The Housing Bank for Trade and Finance - Jordan </t>
  </si>
  <si>
    <t>Ministry of Human Resources and Social Development (HRSD)</t>
  </si>
  <si>
    <t xml:space="preserve">Casi Campus </t>
  </si>
  <si>
    <t xml:space="preserve">Mijad Data Center </t>
  </si>
  <si>
    <t xml:space="preserve">Crown Paints Kenya PLC </t>
  </si>
  <si>
    <t>Engineering Office</t>
  </si>
  <si>
    <t>Vision Tech Solutions</t>
  </si>
  <si>
    <t>Mada Advertising &amp; Publicity L.L.C.</t>
  </si>
  <si>
    <t>Rayan Technology</t>
  </si>
  <si>
    <t>The Hashemite University</t>
  </si>
  <si>
    <t>Cities &amp; Villages Development Bank</t>
  </si>
  <si>
    <t xml:space="preserve">MTN Group Management Services (PTY) LTD. </t>
  </si>
  <si>
    <t xml:space="preserve">Telcovas Solutions and Services Limited </t>
  </si>
  <si>
    <t xml:space="preserve">Guardian Bank </t>
  </si>
  <si>
    <t>Narius | specialised cybersecurity and risk solutions</t>
  </si>
  <si>
    <t>Retail Management Solutions - RMS</t>
  </si>
  <si>
    <t>XC360 EA LTD</t>
  </si>
  <si>
    <t xml:space="preserve">Qatar Museum </t>
  </si>
  <si>
    <t>Ministry of Transport (MOT)</t>
  </si>
  <si>
    <t>Kapa Oil Refineries Ltd</t>
  </si>
  <si>
    <t>Lead Dynamic Solutions</t>
  </si>
  <si>
    <t xml:space="preserve">Attawfiq Micro-Finance </t>
  </si>
  <si>
    <t xml:space="preserve">Arcashield </t>
  </si>
  <si>
    <t xml:space="preserve">Dubai Culture </t>
  </si>
  <si>
    <t>Jordan Ahli Bank</t>
  </si>
  <si>
    <t xml:space="preserve">OmanreFCO </t>
  </si>
  <si>
    <t>King Salman International Airport Development Company (KSIADC)</t>
  </si>
  <si>
    <t xml:space="preserve">Princess Sumaya University for Technology </t>
  </si>
  <si>
    <t>Nesma Injazat</t>
  </si>
  <si>
    <t>Riyadh Holding</t>
  </si>
  <si>
    <t>Vision Bank</t>
  </si>
  <si>
    <t>BHM Capital Financial Services PSC</t>
  </si>
  <si>
    <t>ECS Tech</t>
  </si>
  <si>
    <t>Knowledge Oasis 138</t>
  </si>
  <si>
    <t>Dubai Airport Freezone Office 401, Building 4A</t>
  </si>
  <si>
    <t>Corporate Office, P.O. Box 1049</t>
  </si>
  <si>
    <t>Al Dana</t>
  </si>
  <si>
    <t>Eco Plaza Park - Masdar City</t>
  </si>
  <si>
    <t>7th Floor, La Zarieh Building, La Zarieh Street, Downtown</t>
  </si>
  <si>
    <t>Queen Nour St., Al-Shmeisani</t>
  </si>
  <si>
    <t>Moon Tower, 7586 King Fahd Branch Rd, Ar Rahmaniyyah</t>
  </si>
  <si>
    <t>Downtown Dubai, Al Saaha C-Wing, W202</t>
  </si>
  <si>
    <t>7810 Al Olaya, 3213 King Fahd Dist</t>
  </si>
  <si>
    <t>Prince Saud Ibn Abdullah Ibn Jalawi, Al Qirawan</t>
  </si>
  <si>
    <t>Headquarters</t>
  </si>
  <si>
    <t>Al-Ahsa-31982</t>
  </si>
  <si>
    <t>EADB Building, MZ Floor, Plot 4 Nile Avenue, PO Box 27957, Kampala</t>
  </si>
  <si>
    <t>1st Floor, Maydaa Center, Mansourieh, New Highway</t>
  </si>
  <si>
    <t>Aurora Tower 1104-05, Floor 11</t>
  </si>
  <si>
    <t>Mansourieh</t>
  </si>
  <si>
    <t>Amman</t>
  </si>
  <si>
    <t xml:space="preserve">Ramallah, </t>
  </si>
  <si>
    <t>P.O. Box 82909</t>
  </si>
  <si>
    <t>3173 Al Abbas Ibn Abdulmutalib, At Taawun</t>
  </si>
  <si>
    <t>Amman Development Street, Exit 9, Sahab</t>
  </si>
  <si>
    <t>3rd Circle, 12 Queen Misbah Street</t>
  </si>
  <si>
    <t>Imam Abdullah Ibn Saud Ibn Abdulaziz Rd</t>
  </si>
  <si>
    <t>Alkhalifa Building, 2nd Floor, Al Olaya, Office 3B</t>
  </si>
  <si>
    <t>3528 King Abdullah Bin Abdulaziz Road, Al Nuzha District, Unit No. 25, Riyadh 12471 – 6378, KSA</t>
  </si>
  <si>
    <t>DNIC Building - Office M - 04 Sheikh Zayed Rd - Al Wasl</t>
  </si>
  <si>
    <t>Makkah Road. Ar Rabwah District</t>
  </si>
  <si>
    <t xml:space="preserve">PO Box 1498, </t>
  </si>
  <si>
    <t>Corporate Office | Plot 838 Namanve Industrial Park</t>
  </si>
  <si>
    <t>Baghdad</t>
  </si>
  <si>
    <t>King Fahad Branch Road</t>
  </si>
  <si>
    <t>PO Box 66</t>
  </si>
  <si>
    <t>1st Floor, Hyatt Place, Lower Kabete Road, Westlands</t>
  </si>
  <si>
    <t>Office No. 5, 3rd Floor, Suk Al Kabeer Building Computer Street, Al Raffa Police Station Road</t>
  </si>
  <si>
    <t>P.O. Box 40769</t>
  </si>
  <si>
    <t>P.O. Box 239-01000, General Kago Road, Thika</t>
  </si>
  <si>
    <t>Benghazi</t>
  </si>
  <si>
    <t>Office No: 111, EREC 20 Building, Al Falah Street</t>
  </si>
  <si>
    <t>Corporate Office, Al Maryah Tower, Abu Dhabi Global Market Square, Al Maryah Island</t>
  </si>
  <si>
    <t>Riyadh</t>
  </si>
  <si>
    <t>Al Jama'a Street 202</t>
  </si>
  <si>
    <t>Al Shrooqi Bldg. Office No. 103</t>
  </si>
  <si>
    <t>Doha</t>
  </si>
  <si>
    <t>Makkah</t>
  </si>
  <si>
    <t>Adidas Outlet Building</t>
  </si>
  <si>
    <t>Mekkah</t>
  </si>
  <si>
    <t>An Nakheel District</t>
  </si>
  <si>
    <t>Ar Rawdah District</t>
  </si>
  <si>
    <t>S111, Jebel Ali Freezone South</t>
  </si>
  <si>
    <t>Tour BICICI Avenue Franchet d'Esperey, ABIDJAN, Abidjan 01</t>
  </si>
  <si>
    <t>Fifth District, Cairo</t>
  </si>
  <si>
    <t>8-Abd Elsallam Zaki St., 2nd Floor,</t>
  </si>
  <si>
    <t xml:space="preserve">Al-Ulaya Road Al Yasmin District, </t>
  </si>
  <si>
    <t>Al Aaliya St, Doha</t>
  </si>
  <si>
    <t>Abdullah Ibn Sulaiman Al Hamadan, As Sulimaniyah</t>
  </si>
  <si>
    <t>11th floor, Al Mamoura B</t>
  </si>
  <si>
    <t xml:space="preserve">Amman </t>
  </si>
  <si>
    <t>Office 102, Building 1</t>
  </si>
  <si>
    <t>King Khalid Br Rd, Al Khalidiyah</t>
  </si>
  <si>
    <t>Baniyas Rd - near Etisalat Tower 1 - Deira - Riggat Al Buteen</t>
  </si>
  <si>
    <t>Al Barsha</t>
  </si>
  <si>
    <t>Al Murabba', Prince Abdulrahman Bin Abdulaziz Street, P.O. Box: 3735,</t>
  </si>
  <si>
    <t>Husni Soubar St 3</t>
  </si>
  <si>
    <t>Uthman Ibn Affan Rd, مكتب 12، الدور الاول، حي التعاون مركز التعاون التجاري 7266, Riyadh 12476</t>
  </si>
  <si>
    <t>2674 Al Mughaiyrah Ibn Shuabah, 2674, Ash Shati District, 6721,</t>
  </si>
  <si>
    <t>DMCC,</t>
  </si>
  <si>
    <t>6330 Al Thoumamah Rd, Al Sahafa district</t>
  </si>
  <si>
    <t xml:space="preserve"> Olya Street, Al Wurud,</t>
  </si>
  <si>
    <t>6233 Al Khourmah, Al Wurud، 3123,</t>
  </si>
  <si>
    <t xml:space="preserve"> Level 2, Sobha Sapphire - Business Bay</t>
  </si>
  <si>
    <t>Salah Ad Din Al Ayyubi Rd, Ad Dhubbat</t>
  </si>
  <si>
    <t>Abi Masud Al Badri, As Sulimaniyah</t>
  </si>
  <si>
    <t>Palace Towers - #1306, T1</t>
  </si>
  <si>
    <t>6141 King Fahd Branch Rd, Al Wurud</t>
  </si>
  <si>
    <t>Al Wurud</t>
  </si>
  <si>
    <t>Al Yasmin District, King Abdul Aziz Rd</t>
  </si>
  <si>
    <t>PO Box 24659</t>
  </si>
  <si>
    <t>Queen Rania St</t>
  </si>
  <si>
    <t>C-18, Block C , Sharjah Publishing City</t>
  </si>
  <si>
    <t xml:space="preserve">Al-Hamra Area, King Abdullah Bin Abdul Aziz Road, </t>
  </si>
  <si>
    <t>Muscat</t>
  </si>
  <si>
    <t xml:space="preserve">Al Shatha Tower - Al Sufouh - Al Sufouh 2 </t>
  </si>
  <si>
    <t>Km 22, Desert Road, Eg-12556 Pyramids Heights</t>
  </si>
  <si>
    <t>Rd 272, Industrial Area, Al Jubail 35721</t>
  </si>
  <si>
    <t>Wafi -Al Tal Street, Building No. 251</t>
  </si>
  <si>
    <t>King Al Hussein St 245</t>
  </si>
  <si>
    <t>Behind Capital of Islamic Culture Memorial - University City - Sharjah</t>
  </si>
  <si>
    <t>7049 Al-Ihsa Str. - Az zahra District, Unit no. 3 - 12811</t>
  </si>
  <si>
    <t>MPR7+7F2, Makkah Al Mukarramah Rd, As Sulimaniyah,</t>
  </si>
  <si>
    <t>Air Cargo Road, Al Qastal</t>
  </si>
  <si>
    <t>Gulf Cyberfender Hub, Ground Floor, Dubai Silicon Oasis - Industrial Area D, P.O. Box: 366</t>
  </si>
  <si>
    <t>Building # 2 Mohammed Bin Rashid</t>
  </si>
  <si>
    <t>7GRV+8FP</t>
  </si>
  <si>
    <t>Al Rawaq، 5th Floor OM، 100</t>
  </si>
  <si>
    <t>Beach Building 1, Shatti Al Qurum Road No. 2601, Building No. 37, Third Floor, Office No. (305-307),</t>
  </si>
  <si>
    <t>9th floor , Concord Tower , Dubai Media City</t>
  </si>
  <si>
    <t>4th Floor, Plot- 7-10, Raipur Khadar, Sector 126, Uttar Pradesh 201303</t>
  </si>
  <si>
    <t>Guardian Tower - 4 Sultan Bin Zayed The First St</t>
  </si>
  <si>
    <t>Office 176, 17th Floor, Kanoo Tower, Building 155, Road 1703, Diplomatic Area</t>
  </si>
  <si>
    <t>YAB Business Center, Building no. 7850 Khalidiyah District, Jazeera Street 
Prince Sultan Road Po. Box 3788</t>
  </si>
  <si>
    <t>Building Number 8616, Salah Al Din Al Ayoubi Road, Al Dhubbat District</t>
  </si>
  <si>
    <t>3XRF+J8, Ash Shuraymiyyah, Unayzah</t>
  </si>
  <si>
    <t>Othman bin Affan, Al Narjis district</t>
  </si>
  <si>
    <t>Al Ihsaa, Ar Rabwah</t>
  </si>
  <si>
    <t>First Floor, Al-Jadah Square 3413 Al-Thumama Road, Qurtubah</t>
  </si>
  <si>
    <t>Diplomatic Quarter, Alfazari Square, Abdulla Bin Huthafa Al Sahmy Street, Public Pension Agency Complex</t>
  </si>
  <si>
    <t>Khalid Bin Mohammed School,Sheikh Saqr Bin Khalid Al Qasimi St, 
Al Gharb, Al, Manakh</t>
  </si>
  <si>
    <t>K. Hussein St. 264,</t>
  </si>
  <si>
    <t>PO Box 10544</t>
  </si>
  <si>
    <t>Level 16, South Tower, Al Tawyniah Towers, King Fahad Road</t>
  </si>
  <si>
    <t>(CPC) Private Office Building Prince Sultan, Street, Al-Khalidiah District</t>
  </si>
  <si>
    <t>King Fahd Rd,</t>
  </si>
  <si>
    <t>Suite No. 2237, Bahrain Financial Harbour,
Tower West, Building No. 1459,Road 4626, Area No. 6,</t>
  </si>
  <si>
    <t xml:space="preserve">6MFG+PM4, </t>
  </si>
  <si>
    <t>Khurais Rd, TCC Building As Sulimaniyah,</t>
  </si>
  <si>
    <t xml:space="preserve">Olaya Street, Sahafa Qrt. P.O.BOX 69049 </t>
  </si>
  <si>
    <t>199033 Al Thumana Road, As Sahafa, 3244,</t>
  </si>
  <si>
    <t>Zone: 70, Street:1705</t>
  </si>
  <si>
    <t>Arar St</t>
  </si>
  <si>
    <t>35th Floor, Mazaya Business Avenue, BBI Tower, Jumeirah Lake Towers</t>
  </si>
  <si>
    <t>Ghirnatah</t>
  </si>
  <si>
    <t>186, King Al Hussein St</t>
  </si>
  <si>
    <t>Tla'a Al Ali – Along Wasfi Al Tal St. Building No. 21,</t>
  </si>
  <si>
    <t>Masdar City, P.O. Box: 130666</t>
  </si>
  <si>
    <t>WW2J+3PR, Al Janadriyyah</t>
  </si>
  <si>
    <t>King Abdul Aziz Rd, Al Wizarat</t>
  </si>
  <si>
    <t>Prince Shaker Bin Zaid Street, Building No. 37, Al-Shumaysani, 7693, P.O. Box</t>
  </si>
  <si>
    <t>Office No. 325, 3rd Floor, Al-Akaria 2, Olaya,PO Box: 29589,</t>
  </si>
  <si>
    <t>Imam Abdullah bin Saud, AlShuhada Dist,</t>
  </si>
  <si>
    <t>P. O. Box 86166. Zip Code 11622.</t>
  </si>
  <si>
    <t xml:space="preserve">Nation Towers 18th Floor, Corniche Road, PO Box 43999 </t>
  </si>
  <si>
    <t>Mina Jebel Ali, Jebel Ali Freezone</t>
  </si>
  <si>
    <t>The Ministry of Interior - Arjan</t>
  </si>
  <si>
    <t>Rafiq Al Hariri Ave</t>
  </si>
  <si>
    <t>3269 Prince Mamdouh Ibn, Abdulaziz
7273 Al Sulaimaniyah Dist.</t>
  </si>
  <si>
    <t>Inciralti Mahallesi Mithatpasa Caddesi No: 56-20</t>
  </si>
  <si>
    <t xml:space="preserve">Airport Road, Building 124 ,Block 224 </t>
  </si>
  <si>
    <t>As Sahafah,</t>
  </si>
  <si>
    <t>Granada Business Park - Building A3, PO Box 295814</t>
  </si>
  <si>
    <t xml:space="preserve"> Al Andalus Complex Al Madinah Al Munawarah St</t>
  </si>
  <si>
    <t>8427, Riyadh</t>
  </si>
  <si>
    <t>Ar Rabi, Riyadh 13322</t>
  </si>
  <si>
    <t>National Electric Power Co NEPCO, Zahran St 275,</t>
  </si>
  <si>
    <t>Jordan Electric Power Co Jepco, Al Muhajireen St. 222,</t>
  </si>
  <si>
    <t xml:space="preserve">Tabarbour - Abu Olaya </t>
  </si>
  <si>
    <t>94G5+GVG, Prince Metib Road, Al Nuzha</t>
  </si>
  <si>
    <t>6HQQ+593, Manama</t>
  </si>
  <si>
    <t>Al Ulaya, 6685 2975</t>
  </si>
  <si>
    <t>Plot Nos 93 to 96, KIADB Aerospace SEZ Rd, B.Marenahalli, Bhatramarenahalli</t>
  </si>
  <si>
    <t>PO Box 1289</t>
  </si>
  <si>
    <t>Defense Road - Al Saadiyat Island - SDW4</t>
  </si>
  <si>
    <t>Shmaisani, Headquarters</t>
  </si>
  <si>
    <t>Al A'awdah, Irbid, Jordan</t>
  </si>
  <si>
    <t>8884 KKIA Road, Riyadh Front, P.O. Box 13415</t>
  </si>
  <si>
    <t xml:space="preserve">Shmeisani, queen Alia St. 
Al-Rayyan Tower </t>
  </si>
  <si>
    <t>Bldg No.386-Al Orouba Rd.- Al Olaya Dist. P.O. Box: 301964</t>
  </si>
  <si>
    <t>3389 King Saud Bin Abdulaziz Rd, Al Safa, 6794</t>
  </si>
  <si>
    <t>RBJA9542، طريق الملك فهد الفرعي, 12731</t>
  </si>
  <si>
    <t>Abi Al Fadl Al Harbi, Prince Jalawi Bin Turki Bin Abdulaziz</t>
  </si>
  <si>
    <t>2nd Floor, Wing B, Habshan Building, Khalifa
University San Campus</t>
  </si>
  <si>
    <t>Al Kasih Food Production Co, Al Shadi St 7,</t>
  </si>
  <si>
    <t>Dubai Internet City, Building 16 Office 240-241
 Dubai 502318</t>
  </si>
  <si>
    <t>5th floor - Al Hudaiba</t>
  </si>
  <si>
    <t>1st Floor, Building No.188</t>
  </si>
  <si>
    <t>Office No.216 ISE Tower, 55-B, Jinnah Avenue, Blue Area,</t>
  </si>
  <si>
    <t>PO Box 11111, Al Hada</t>
  </si>
  <si>
    <t>BLDG. No.356, BILLEH PLAZA</t>
  </si>
  <si>
    <t xml:space="preserve">P.O Box 89443,  Warehouse # 3, Al Qusais Industrial Area #5 </t>
  </si>
  <si>
    <t>Street, Mu'tah</t>
  </si>
  <si>
    <t xml:space="preserve">King Abdullah Road </t>
  </si>
  <si>
    <t>Al Bidda Tower</t>
  </si>
  <si>
    <t>4Th Floor Injazat HQ, Mohamed Bin Zayed City</t>
  </si>
  <si>
    <t>P.O. Box 63727</t>
  </si>
  <si>
    <t>Olaya Street, Computer Market, Shaikh Alminbar El-Hhaledya Bldg, North Tower, 5th Floor, Office 20</t>
  </si>
  <si>
    <t xml:space="preserve">RHYA 6103, King Abdulaziz Rd. 2869 Al Maseef Dist. </t>
  </si>
  <si>
    <t>Al-Nafil, Abo Baker Road, P.O. Box: 7978</t>
  </si>
  <si>
    <t>1502, 2nd Floor, Damac Business Tower</t>
  </si>
  <si>
    <t>P.O Box 25650</t>
  </si>
  <si>
    <t>8522 King Fahad Rd, AlMohammadia</t>
  </si>
  <si>
    <t>North Ring Road, 11321</t>
  </si>
  <si>
    <t>Ramallah Tower- 1st Floor, 105 Office</t>
  </si>
  <si>
    <t>HQ CR.2050033318, PO Box 339,</t>
  </si>
  <si>
    <t xml:space="preserve">P.O.Box 13833 </t>
  </si>
  <si>
    <t>King Fahad Street (60th St.), North Al-Falak Roundabout, P.O.BOX: 7883</t>
  </si>
  <si>
    <t xml:space="preserve">AL Najim Business Center, Prince Mansour, Bin Abdul Aziz Street, 2nd floor-#8,Fahad Complex </t>
  </si>
  <si>
    <t>15, Abdul Hamid Shoman Street. 2nd. Floor,Shmeisani</t>
  </si>
  <si>
    <t xml:space="preserve"> The Galleries, Downtown Jebel Ali,  PO Box 500741 PO Box: 500741</t>
  </si>
  <si>
    <t>12401st St - Mina Jebel Ali , Jebel Ali Free Zone</t>
  </si>
  <si>
    <t>Abdulla Al Fahad 2, #214, Al Qusais 2</t>
  </si>
  <si>
    <t>PO Box 183629</t>
  </si>
  <si>
    <t>Floor 13, Grenada Oasis, Abi Jafar Al Mansour St Ash Shuhada Building A2</t>
  </si>
  <si>
    <t>Medica, Sahab St 61</t>
  </si>
  <si>
    <t>Office # 111, Red Avenue Building, Al Garhoud</t>
  </si>
  <si>
    <t xml:space="preserve">King Saud Road, 11544, P.O. Box 55937, </t>
  </si>
  <si>
    <t xml:space="preserve">CJG9+QG7 - Masdar City </t>
  </si>
  <si>
    <t>Abu Dhabi Island, West 59, Building of Abu Dhabi National Exhibitions Company Exhibitions-PJSC</t>
  </si>
  <si>
    <t>Saginuma Center Building 3F, 3-2-6 Saginuma, Miyamae-ku,</t>
  </si>
  <si>
    <t>5, Rue Feydeau, 75002</t>
  </si>
  <si>
    <t>Office 908,9th Floor, Lynx Tower,Office Block,Dubai Silicon Oasis</t>
  </si>
  <si>
    <t>Platinum Tower, JLT</t>
  </si>
  <si>
    <t>Airport Road</t>
  </si>
  <si>
    <t>P.O Box : 25650</t>
  </si>
  <si>
    <t>Corso Somalia Street Shangaani District Mogadishu,</t>
  </si>
  <si>
    <t>Airport Road, Wadajir District Mogadishu</t>
  </si>
  <si>
    <t>8132 Prince Musaad Bin Abdulaziz St, As Sulimaniyah</t>
  </si>
  <si>
    <t>Prince Turki Bin Abdulaziz Al Awal St.</t>
  </si>
  <si>
    <t>Opp.ANB, King Abdulaziz Street</t>
  </si>
  <si>
    <t>PO Box 56071</t>
  </si>
  <si>
    <t>King Fahd Street, Al-Muhammadiyah District</t>
  </si>
  <si>
    <t>BDD, Blg 1499, 4th Floor</t>
  </si>
  <si>
    <t>King Abdullah Road, Arrahmaniah District</t>
  </si>
  <si>
    <t>Suite 910,IT Plaza, Silicon Oasis</t>
  </si>
  <si>
    <t>King Khalid International Airport</t>
  </si>
  <si>
    <t>34 Willis Avenue • Mineola</t>
  </si>
  <si>
    <t>Macca Tower's - Al Salam Gate 1 - 3rd Floor - Offcie 302 Macca Street</t>
  </si>
  <si>
    <t xml:space="preserve">XW99+PMV, </t>
  </si>
  <si>
    <t>Shatha Tower - 35th Floor - Al Sufouh - Al Sufouh 2</t>
  </si>
  <si>
    <t>Al -Imam Abdur Rahman Bin Faisal, Al Khozama District</t>
  </si>
  <si>
    <t>8073 Al Masjid Al Haram Rd, Al Maabdah</t>
  </si>
  <si>
    <t>8918 Uthman Ibn Affan Road,  King Salman District, 4020 Riyadh, Saudi Arabia</t>
  </si>
  <si>
    <t>VPFJ+MGH RIPC, King Khalid International Airport</t>
  </si>
  <si>
    <t>890, Alyasmin, 4518, Saudi Arabia</t>
  </si>
  <si>
    <t>Prestige Tower 17 - Al barraq street - 6th Floor - Mohamed Bin Zayed City</t>
  </si>
  <si>
    <t>2701 - The Exchange Tower, Business Bay</t>
  </si>
  <si>
    <t>57Q8+Q4M - Business Bay</t>
  </si>
  <si>
    <t>39120 Argonaut Way. Fremont,</t>
  </si>
  <si>
    <t>Abqaiq Road, Dhahran 34313</t>
  </si>
  <si>
    <t>Tahlia St., Dar Al-Hijaz 2, F#5 Office#30</t>
  </si>
  <si>
    <t>8918, Uthman Ibn Affan Road, King Salman District</t>
  </si>
  <si>
    <t>PO Box 11, Kalba</t>
  </si>
  <si>
    <t>Jeddah</t>
  </si>
  <si>
    <t>Floor 10, Building MU04,</t>
  </si>
  <si>
    <t xml:space="preserve">  3884 Prince Turki bin Abdul Aziz Al-Awal Road,</t>
  </si>
  <si>
    <t>Makkah - Jeddah Hwy, Al Hamra Umm Al Jud, Makkah 24321</t>
  </si>
  <si>
    <t xml:space="preserve">Le Solarium Tower 511 </t>
  </si>
  <si>
    <t>4074, Al Qirawan، 7510 الرياض SA,</t>
  </si>
  <si>
    <t>Blue Bay Tower, Marasi Drive</t>
  </si>
  <si>
    <t>P.O.Box 9226,</t>
  </si>
  <si>
    <t>Salama Tower-First Floor, Office 101 Al Madinah Al Munawarah Rd</t>
  </si>
  <si>
    <t>Moon Tower, King Fahd Road</t>
  </si>
  <si>
    <t>Al Thoumamah Rd, Al Sahafa district</t>
  </si>
  <si>
    <t>Al Darwish United Tower, Al Sadd Street, Al Sadd,</t>
  </si>
  <si>
    <t>Sharq Omar Ibn Al Khattab Street Arraya Tower M1 - 13th Floors PO Box 1220</t>
  </si>
  <si>
    <t xml:space="preserve">Fares Al Kiswani Complex, Amer Bin Malek St 32, </t>
  </si>
  <si>
    <t>Olaya St, Al Muruj,</t>
  </si>
  <si>
    <t xml:space="preserve">Bawan, Hoshan Complex,Ground Floor 7593 Al Ihsaa ،Street, </t>
  </si>
  <si>
    <t>Office 206, Suntech Tower, Nadd Hessa</t>
  </si>
  <si>
    <t>103, Al Bu Qubai Tower, Grand Stores Building</t>
  </si>
  <si>
    <t xml:space="preserve">W15/2 C12, Office No.1401, National Bank of Kuwait Building, Airport Road </t>
  </si>
  <si>
    <t>Zone 51, Street 2322, Building 115,Unit 204</t>
  </si>
  <si>
    <t xml:space="preserve"> 7FHV+W6H, Jawaan St,</t>
  </si>
  <si>
    <t>Building 7, Zahran Street, As-Suwayfiyya Area</t>
  </si>
  <si>
    <t>XV7X+35F, Maarouf Ar-Rasfi St</t>
  </si>
  <si>
    <t xml:space="preserve"> 7235 Pm5h+6m</t>
  </si>
  <si>
    <t>Al Sulaimaniyah Dist 4327-Abdullah Bin Rawaha St 7400</t>
  </si>
  <si>
    <t>131 Finsbury Pavement</t>
  </si>
  <si>
    <t xml:space="preserve"> King Fahd Road 3208 - Al Aqeeq District 
Unit No.778
 Zip Code 13519 – Additional No. 6676</t>
  </si>
  <si>
    <t>2309Arafat Street, Al Malaz Unit#2</t>
  </si>
  <si>
    <t>7CJ9+XP4, Rabigh, Al Rayyan, Taif 26523</t>
  </si>
  <si>
    <t xml:space="preserve">Al Rawdah District, Khalid Bin Al Walid Street </t>
  </si>
  <si>
    <t>391 Umm Al Sanuiem St., Barwa Commercial Avenue, Safwa Building, Block 20, Office No. C102 &amp; C103, Zone No. 56, Floor 1</t>
  </si>
  <si>
    <t>7th Floor, Saudi Commission for Health Specialties Building</t>
  </si>
  <si>
    <t>7190 King Abdulaziz Rd, Al Murabba</t>
  </si>
  <si>
    <t>B95620613, Calle Garaizar 4, Bilbao (48004),</t>
  </si>
  <si>
    <t>4H27+QWP, Al Huwailat, 7887,</t>
  </si>
  <si>
    <t>Mecca St. 29,</t>
  </si>
  <si>
    <t>Digital City, SBM Building (KB05)Prince Turki Bin Abdulaziz Al Awwal Road, Al Nakhil</t>
  </si>
  <si>
    <t>Al-Istethmar Street, Abdali Boulevard, 11191</t>
  </si>
  <si>
    <t>Al Jawf</t>
  </si>
  <si>
    <t>King Fahd Road, Al-Maather District,</t>
  </si>
  <si>
    <t>Public Prosecution</t>
  </si>
  <si>
    <t>Abu Dhabi Island, West 59, Building of Abu Dhabi National Exhibitions Company Exhibitions - PJSC</t>
  </si>
  <si>
    <t>401 - Airport Road Plot 433, P.O. Box 44995</t>
  </si>
  <si>
    <t>Al Rosais Commercial Complex, Al-Dabbab Street, Al Murabba</t>
  </si>
  <si>
    <t>STC Group Buildings, Al Mursalat</t>
  </si>
  <si>
    <t>2nd Floor, Building 5 Arcade Center</t>
  </si>
  <si>
    <t xml:space="preserve">Al Warood District, Prince Majid Road, P.O. Box: 1358, </t>
  </si>
  <si>
    <t xml:space="preserve">PO Box 113 Postal Code 100 </t>
  </si>
  <si>
    <t>MMWH+4WF, King Fahd Branch Rd, Al Olaya,</t>
  </si>
  <si>
    <t>Telecom House-87, Dohat Al Adab Street, Al-Khuwair</t>
  </si>
  <si>
    <t xml:space="preserve">Cenomi Centers, Building No. 8838, Unit 70, King Saud 
University, U-Walk, Prince Turki Ibn Abdulaziz Al Awal Road beside Evox Fitness Gym, 
Parking A8 Area </t>
  </si>
  <si>
    <t>Bldg. 1A Maadi Star Towers, Cornish 
ElMaadi,</t>
  </si>
  <si>
    <t>Dubai Cooperative Society Building - Al Garhoud</t>
  </si>
  <si>
    <t>Prince Mutib Ibn Abdullah Ibn Abdulaziz Rd, Ar Rimayah, Riyadh 11426,</t>
  </si>
  <si>
    <t>Uthman Ibn Affan Rd، Riyadh, Al Taawun,</t>
  </si>
  <si>
    <t xml:space="preserve"> Imam Saud bin Abdulaziz bin Mohammed 
Road 12281
 Building B, first floor</t>
  </si>
  <si>
    <t>P.O. Box 257</t>
  </si>
  <si>
    <t>Building N 6, Riyadh Front - Business Area, Riyadh 13455</t>
  </si>
  <si>
    <t>6203 King Fahd Branch Road,As Sahafah, Po Box 7186</t>
  </si>
  <si>
    <t>Building No. 4159, King Abdullah Road, Taibah District</t>
  </si>
  <si>
    <t>Bashoura 1526, Avenue Fouad Chehab, Beirut Central Building Block B</t>
  </si>
  <si>
    <t>King Hussein Business Park, Building 11</t>
  </si>
  <si>
    <t>BDD 1499, 4th Floor</t>
  </si>
  <si>
    <t>2599 Northern Ring Rd, At Taawun,</t>
  </si>
  <si>
    <t>Al Maather, Al Olaya</t>
  </si>
  <si>
    <t>3485 8450 Al Thoumamah Rd, Ar Rabi,</t>
  </si>
  <si>
    <t>Omar bin AbdulAziz Rd, Ar Rabwah Dist.</t>
  </si>
  <si>
    <t>Rahmaniyah - Al Dhaid Road</t>
  </si>
  <si>
    <t>55 Al Jihad Street, Al Masyoon, Ramallah, West Bank</t>
  </si>
  <si>
    <t>Office 506, Apricot Tower, Dubai Silicon Oasis</t>
  </si>
  <si>
    <t>7th Circle, Abdullah Ghosheh St., Bldg.1, P.O. Box 950745</t>
  </si>
  <si>
    <t>9th Floor, Rua Da Quitanda 196, Centro, Rio de Janeiro,</t>
  </si>
  <si>
    <t>P.O. Box: 940821</t>
  </si>
  <si>
    <t xml:space="preserve"> Salah Al Deen Al Ayoubi Road, Al-Dhabat</t>
  </si>
  <si>
    <t xml:space="preserve"> مخرج 6، 6</t>
  </si>
  <si>
    <t>2163 Al Urubah Rd, Northern Maathar District 7795</t>
  </si>
  <si>
    <t xml:space="preserve"> Dubai Head Office
 3rd Floor, Sheikh Zayed Road</t>
  </si>
  <si>
    <t xml:space="preserve"> 16192 Coastal Highway, Lewes,Delaware 19958, Country of Sussex </t>
  </si>
  <si>
    <t>1 Finsbury Avenue</t>
  </si>
  <si>
    <t>Avenue Loudun</t>
  </si>
  <si>
    <t xml:space="preserve">Office 325, 3rd Floor,Aqariah 2, Olaya Street,PO Box: 29589, </t>
  </si>
  <si>
    <t>Government office in Riyadh</t>
  </si>
  <si>
    <t>Al Hittin 7148 4928 الطريق الدائري الشمالي الفرعي الرياض 13513 7148,</t>
  </si>
  <si>
    <t>Saudi Arabia</t>
  </si>
  <si>
    <t>Howaishel Tower A, 1st Floor, Al 12212 7720</t>
  </si>
  <si>
    <t>Al-Umam Center, South Tower,  Office #612, 6th Floor, Salah El-Dine Road, P.O.Box #21557</t>
  </si>
  <si>
    <t xml:space="preserve"> Rovan Building, Prince Saud Al-Faisal Road</t>
  </si>
  <si>
    <t>90 Bd National 92250 La Garenne</t>
  </si>
  <si>
    <t>PM9P+GQP, Al Urubah Rd, Al Wurud, Riyadh 12252</t>
  </si>
  <si>
    <t>Bamako Mall 311, Immeuble Pacifique 3</t>
  </si>
  <si>
    <t xml:space="preserve"> QM4F+FW2, King Abdul Aziz Branch Rd, Al Muruj, Riyadh 12282,</t>
  </si>
  <si>
    <t>Umm Al Qura Street, Haratal Bab And Ash Shamiyyah</t>
  </si>
  <si>
    <t>King Fahad Road, Al Olaya District, Building 792,P.O Box 
62640</t>
  </si>
  <si>
    <t>7190 King Abdulaziz Rd</t>
  </si>
  <si>
    <t>King Fahd Branch Rd, Al Malqa,</t>
  </si>
  <si>
    <t>Meydan Grandstand , 06th Floor, Meydan Road, Nadd Al Sheba</t>
  </si>
  <si>
    <t>Dist, 3159 PrinDist, 3159 Prince Muhammad Ibn Abd Al Aziz, Al Olaya,ce Muhammad Ibn Abd Al Aziz, Al Olaya,</t>
  </si>
  <si>
    <t>Dalifort Forail, Df-105, Cite Hilal Villa No. 58</t>
  </si>
  <si>
    <t xml:space="preserve"> Business Gate, Building 13,
 2362 Qurtubah District, Riyadh 13244-7624</t>
  </si>
  <si>
    <t>2377 Northern Ring Branch Road, Almasiaf</t>
  </si>
  <si>
    <t>Al Falak Business Centre, Khobar EST 31952</t>
  </si>
  <si>
    <t>4253,RGRB7292، 7292</t>
  </si>
  <si>
    <t>2520 Mission College Blvd #110 Santa Clara CA 95054</t>
  </si>
  <si>
    <t>4315, Al Hada</t>
  </si>
  <si>
    <t>Flat/Shop No.41, Bldng 2420, Road/Street 5718, Block 257</t>
  </si>
  <si>
    <t xml:space="preserve">Office #2, Building 414, Rd 3009, Block 330, </t>
  </si>
  <si>
    <t>Tsholetsa House, Plot 4705/6, Botswana Road, Main Mall</t>
  </si>
  <si>
    <t>Al Maarefah Rd</t>
  </si>
  <si>
    <t>King Fahd Rd, Al Olaya, Riyadh 13712</t>
  </si>
  <si>
    <t>PO Box 101 Rabigh 21911</t>
  </si>
  <si>
    <t>4043 Al-Hussein binAli - Al-Masif District Unit No.6, Riyadh 12468-7815</t>
  </si>
  <si>
    <t>PO Box No. Box 22525, Airport road, G Floor, International Airport, Deira</t>
  </si>
  <si>
    <t xml:space="preserve"> Alfanar Head Office
 Al-Nafl - Northern Ring Road
 Between Exits 5 &amp; 6,
 Near King Abdulaziz Center for National Dialogue,
 P.O. Box 301, </t>
  </si>
  <si>
    <t>Al Thoumamah Rd, King Khalid International Airport</t>
  </si>
  <si>
    <t>Alyasmin, Riyadh 13322,</t>
  </si>
  <si>
    <t>Bamako</t>
  </si>
  <si>
    <t xml:space="preserve">Al-Tawuniyah Towers- Southern Tower- 18th floor, King Fahd Street, Olaya District, </t>
  </si>
  <si>
    <t>QJHQ+PM5، King Fahd Branch Road, As Sahafah, As Sahafah</t>
  </si>
  <si>
    <t xml:space="preserve"> Imam Saud Bin Abdulaziz Bin 
Mohammed Rd, At Taawun, 3rd 
Floor , Al Zamil Building</t>
  </si>
  <si>
    <t xml:space="preserve"> King Abdulaziz Street, P.O. Box 878; 5th  Floor</t>
  </si>
  <si>
    <t>Secure Net, View Square, Floor 1, Office 22, Alyasmin 7575</t>
  </si>
  <si>
    <t xml:space="preserve"> RJC9+MV, Alyasmin، 7252, 13325 2573,</t>
  </si>
  <si>
    <t>JPX8+7RG, Ibn Al Anbari, Al Amal,</t>
  </si>
  <si>
    <t> Al Jamiah Street,Al Malaz District</t>
  </si>
  <si>
    <t>102 Maleha St - Institutes Land</t>
  </si>
  <si>
    <t xml:space="preserve">Al Amanah Street,West Boghdadeya District, P.O. Box 1264 </t>
  </si>
  <si>
    <t>No. 352, GRIDCO III Building - P Floor C Ring Road, Rawdat Al Khail Street No. 230, Zone No. 24</t>
  </si>
  <si>
    <t>Road 2806, Block 428 Zain Tower, Building 401 Seef, District 973</t>
  </si>
  <si>
    <t>Prince Turki Ibn Abdulaziz st. Genx building, Floor No.1, Office No.7</t>
  </si>
  <si>
    <t>Ash Shuraymiyyah, Unayzah 56219,</t>
  </si>
  <si>
    <t>Abd Al Monem Riyad St 49</t>
  </si>
  <si>
    <t>Building Dafna,  P.O Box 7494</t>
  </si>
  <si>
    <t>HGXR+4QW, Muscat 112</t>
  </si>
  <si>
    <t>Sharq - Block 1 - Building 17 Floor 11. Al-Enezi Tower, Mubarak AlKabeer Street P.O.Box 20416 Safat 13065</t>
  </si>
  <si>
    <t>Office # 3502-3507, 35th Floor, Shatha Tower,Dubai Media City,</t>
  </si>
  <si>
    <t>Sector 133, Street 12</t>
  </si>
  <si>
    <t>Abdulkarim Building – King Fahad Bin Abdulaziz Road,</t>
  </si>
  <si>
    <t>Diplomaa Tower, West Bay, Zone 61, Street 836, Building 140, PO Box 3299</t>
  </si>
  <si>
    <t>1803, 18th Floor, Business Central Towers, Dubai Internet City, Sheikh Zayed Road</t>
  </si>
  <si>
    <t>Al-Maather, Al Olaya</t>
  </si>
  <si>
    <t xml:space="preserve">7593 Al Ihsaa, Ar Rabwah, </t>
  </si>
  <si>
    <t>University City Rd - University City</t>
  </si>
  <si>
    <t>Rashid Bin Saqr Al Qasimi Street</t>
  </si>
  <si>
    <t>PJRP+CGX, An Nakheel</t>
  </si>
  <si>
    <t>Tamouh Tower, 12, Hazza' Bin Zayed The First Street</t>
  </si>
  <si>
    <t>Main Office, Al Rashidiya</t>
  </si>
  <si>
    <t>Dubai Healthcare City, The Executive Office, Building #16, Level 3</t>
  </si>
  <si>
    <t>Al Nahda St - Al Qusais - Al Qusais 2</t>
  </si>
  <si>
    <t>45, Ahl Al 'Azm St, Al Nahyan</t>
  </si>
  <si>
    <t>Oud Metha, Umm Hurair 2</t>
  </si>
  <si>
    <t>Sheikh Ahmed Square, Al Jaddaf</t>
  </si>
  <si>
    <t xml:space="preserve">President Joko Widodo Street (Al-Ma’arid 
Street), opposite Zayed Military Hospital, 
Embassies District, </t>
  </si>
  <si>
    <t>near the Abu Dhabi International Airport - Al Shamkhah</t>
  </si>
  <si>
    <t>60 Asia Street, PO Box 28000, Doha</t>
  </si>
  <si>
    <t>7586 4119 King Fahd Branch Rd, Ar Rahmaniyyah</t>
  </si>
  <si>
    <t>West Bay, P.O. Box 217</t>
  </si>
  <si>
    <t>Al Nasr Tower B, Al Corniche Road</t>
  </si>
  <si>
    <t>Ras Aljora-Namera Street</t>
  </si>
  <si>
    <t xml:space="preserve"> Al Ghubrah North, P.O. Box 2240, P.C 130,</t>
  </si>
  <si>
    <t>First Industrial Area, Street # 7 Intersection 32</t>
  </si>
  <si>
    <t>King Fahd Rd, Al Muruj,</t>
  </si>
  <si>
    <t>Digital City</t>
  </si>
  <si>
    <t xml:space="preserve"> Al Waha, Jeddah 23352</t>
  </si>
  <si>
    <t>Oasis Granada Tower A,, P.O.Box 22955</t>
  </si>
  <si>
    <t xml:space="preserve"> 51 Wezaret El Zeraa St. Al agouzah, Giza,</t>
  </si>
  <si>
    <t>King Fahad Bin Abdulaziz</t>
  </si>
  <si>
    <t>PO Box 3402</t>
  </si>
  <si>
    <t>King Abdulaziz International Airport</t>
  </si>
  <si>
    <t>383 King Fahad Branch Rd, 2338 Al Yasmeen Dist</t>
  </si>
  <si>
    <t>86F8+CQ3, Prince Turkey Street, Alkurnaish</t>
  </si>
  <si>
    <t>Airport Road, King Khalid International Airport</t>
  </si>
  <si>
    <t>2920 Prince Faisal Bin Turki Bin Abdulaziz Al Murraba District, Central Province</t>
  </si>
  <si>
    <t>Olaya St, حي الغدير، Riyadh 13311</t>
  </si>
  <si>
    <t>Hadeel Business Center, King Abdulaziz Street, Yasmeen Distinct</t>
  </si>
  <si>
    <t>Sheikh Rashid Bin Saeed Street, PO Box No. 28881</t>
  </si>
  <si>
    <t>King Fahd Road 3208 - Al Aqeeq District Unit No.778</t>
  </si>
  <si>
    <t>Block A, 219, Oud Metha Rd., Dubai Healtcare City</t>
  </si>
  <si>
    <t>Sultanate Of Oman</t>
  </si>
  <si>
    <t>King Khalid International Airport, Riyadh 13443,</t>
  </si>
  <si>
    <t>Al Dabab Street,in front of Saudi Hollandi Ban,P.O. Box: 26250</t>
  </si>
  <si>
    <t>Al Imam Saud Ibn Faysal Rd, As Sahafah</t>
  </si>
  <si>
    <t>Alturki Business Park, 34455 Dhahran,</t>
  </si>
  <si>
    <t>Al Uruban Rd, Umm Al Hamam Al Gharabi</t>
  </si>
  <si>
    <t>4700 King Abdullah University of Science and Technology Thuwal 23955-6900</t>
  </si>
  <si>
    <t>Al Aqeeq</t>
  </si>
  <si>
    <t>MPXP+385, طريق خريص, Ar Rabwah</t>
  </si>
  <si>
    <t>Office#2402,2403,2404,2408, Plot No: JLTE
PH2-BB1
 Mazaya Business Avenue, JLT</t>
  </si>
  <si>
    <t>Villa 66, Al Hekma St, Sheikh Zaid City, Hai 7, Area 4</t>
  </si>
  <si>
    <t xml:space="preserve">G529+73C, Al Kurnaysh Br Rd, الفرعي، البغدادية الغربية،، </t>
  </si>
  <si>
    <t>8386 Ring Rd, Gharb Al Dhahran</t>
  </si>
  <si>
    <t>Abo Bakr Al Siddiq, Al Jamiah,</t>
  </si>
  <si>
    <t>An Nakheel, RGNB3182، 3182</t>
  </si>
  <si>
    <t>King Abdulaziz Center For National Dialogue, P.O.Box 47360</t>
  </si>
  <si>
    <t>MP5F+979، الجامعة</t>
  </si>
  <si>
    <t>331 Prince Abdulaziz Ibn Musaid Ibn Jalawi St, Al Olaya</t>
  </si>
  <si>
    <t>PO Box 7852 Al Muhammdiyah, Unit No. 2, 23615</t>
  </si>
  <si>
    <t>QMJR+WCX, Al Wadi</t>
  </si>
  <si>
    <t>Umm Al Hamam Al Gharbi, 7596 Salim Ibn Abi Bakr Shaikan 2462 West</t>
  </si>
  <si>
    <t>Prince Nasir Bin Saud Bin Farhan Al Saud Street</t>
  </si>
  <si>
    <t>King Abdulaziz St, As Salam</t>
  </si>
  <si>
    <t>King Fahd Road, Al Rawabi, Dammam 34421</t>
  </si>
  <si>
    <t>8500 4000 Prince Sattam Ibn Abdulaziz, Al Khuzama, Diriyah</t>
  </si>
  <si>
    <t>PO Box 11111 Riyadh 12911</t>
  </si>
  <si>
    <t>Ali Ibn Abi Talib, Al Sharafeyah</t>
  </si>
  <si>
    <t>8152 King Fahd Rd, Al Mohammadiyyah</t>
  </si>
  <si>
    <t>P.O.Box 4110,Al-Khobar 31952,</t>
  </si>
  <si>
    <t>King Abdullah Rd, 2211 8661,</t>
  </si>
  <si>
    <t>3456 Khalid Al Qarqani، 8306</t>
  </si>
  <si>
    <t>P.O Box 1689</t>
  </si>
  <si>
    <t>XW36+MP5, Al-Sharq St.</t>
  </si>
  <si>
    <t>2005C, Cornishe El-Nil, Ramlet Boulaq</t>
  </si>
  <si>
    <t xml:space="preserve">P.O Box 229 5th Settlement, New Cairo </t>
  </si>
  <si>
    <t xml:space="preserve"> Prince Nasser Bin Farhan St, Salahuddin,</t>
  </si>
  <si>
    <t>6HJ2+XCG stc Tower, Building 15 Road 68, Seef 428</t>
  </si>
  <si>
    <t>Building 1095, Road 1425, Block 1014, PO Box 14</t>
  </si>
  <si>
    <t xml:space="preserve">  Addax Tower, 32nd Floor, P.O. Box 33235, Al Reem Island</t>
  </si>
  <si>
    <t>2351 Alfred Nobel Blvd, Suite N-410</t>
  </si>
  <si>
    <t xml:space="preserve"> Al Falak Business Centre,P.O. Box 1963 – Al Khobar 31952</t>
  </si>
  <si>
    <t>PO Box No. 37543, Commercial Tower Hazza Bin Zayed Street</t>
  </si>
  <si>
    <t>7266 Uthman Ibn Affan Rd</t>
  </si>
  <si>
    <t>962 Wadi Al Island, An Nakheel</t>
  </si>
  <si>
    <t>Ar Rabie Distict 7882 - Bani Masud St. 4517, King Abdul Aziz Street, Exit 7 - One Square Building</t>
  </si>
  <si>
    <t>Unit No. 9138, 1st Floor, Building S2,  Front Business, Gate 4 King Khalid International Airport, PO Box 8996,</t>
  </si>
  <si>
    <t>P.O.Box: 12313 Riyadh 7151,Al Olaya – Al Takhasusi</t>
  </si>
  <si>
    <t>Al Tahlia St. Dar Al-Hijaz 2, 5th Floor, Office #30</t>
  </si>
  <si>
    <t>PO Box: 34895, Al Zahiyah - E16</t>
  </si>
  <si>
    <t>Building 0401, Z104, KOM4, Rusayl 135</t>
  </si>
  <si>
    <t>Zone C, Building 4, The Business Gate, PO Box: 87601 Riyadh: 717028</t>
  </si>
  <si>
    <t>P.O. Box 7081, Riyadh 12836</t>
  </si>
  <si>
    <t>Regus Doha Twin Towers 12th Floor,Marina Twin Towers, Tower B, Office 1217</t>
  </si>
  <si>
    <t>Riggat Al Buteen, Baniyas Rd D85,6 B St., Easa Saleh Al Gurg Tower, 7th Floor</t>
  </si>
  <si>
    <t>P.O Box 90872</t>
  </si>
  <si>
    <t>Dist, 3383 King Faisal W, Al Taawun</t>
  </si>
  <si>
    <t>Burj Marina tower,Lusail</t>
  </si>
  <si>
    <t>7139 Al Hassan Bin Al Zubair, Al Ajwad District</t>
  </si>
  <si>
    <t>PO Box 6045</t>
  </si>
  <si>
    <t>Baniyas Rd, Port Saeed- Riggat Al Buteen</t>
  </si>
  <si>
    <t>Salwa Industrial Area,Building No. 72, Zone No. 57, East Industrial Street-100</t>
  </si>
  <si>
    <t>Telecom House, 8 KG 7 Ave</t>
  </si>
  <si>
    <t>RHWA6755, 6755 Al Ulaya, 2513, Al Worood District</t>
  </si>
  <si>
    <t>00, 3rd Floor, A3, Dubai South</t>
  </si>
  <si>
    <t>Building S4, Riyadh Business Front, Airport Road</t>
  </si>
  <si>
    <t>Olaya District, King Fahd Road, Zip Code: 12212</t>
  </si>
  <si>
    <t xml:space="preserve"> Al Taawun Center,Uthman Ibn Affan Rd Exit -7</t>
  </si>
  <si>
    <t>King Khalid International Airport, Riyadh 13456</t>
  </si>
  <si>
    <t xml:space="preserve"> Office 43, 4th Floor, Al-Bassam Business </t>
  </si>
  <si>
    <t>Office 3019, Shatha Tower, Dubai Internet City</t>
  </si>
  <si>
    <t>Price Sultan Rd, Al Mohammadiyah Dist.</t>
  </si>
  <si>
    <t>Imam Saud Road</t>
  </si>
  <si>
    <t>Office9, 3rd Floor, Al Munira Tower, Al Amir Faisal Ibn Fahad Road, Unit No.2, Al Khobar 34441-8264, Building No. 4597,P.O. Box 2768, Al Khobar 31952,</t>
  </si>
  <si>
    <t xml:space="preserve">Ankara Ticaret Merkezi A Blok Kızılırmak Mah, 1450.Sok. No:3 Kat:15 Daire:70-71, 06520 Çankaya  </t>
  </si>
  <si>
    <t>Abd Al Aziz Al Thaalibi St 13</t>
  </si>
  <si>
    <t xml:space="preserve">Mecca St., </t>
  </si>
  <si>
    <t>P.O Box 28743,  Public Relations</t>
  </si>
  <si>
    <t>Building 20, Baniyas Road,</t>
  </si>
  <si>
    <t>Dubai Supreme Court Complex</t>
  </si>
  <si>
    <t xml:space="preserve">Al Fattan Plaza Building - Office No. 1002, 10th floor </t>
  </si>
  <si>
    <t xml:space="preserve"> </t>
  </si>
  <si>
    <t xml:space="preserve">Ist Floor, Maydaa Center </t>
  </si>
  <si>
    <t xml:space="preserve">Eastern Region - Headquarters, Khaldiya - Port (King Abdulaziz) Road, </t>
  </si>
  <si>
    <t>King Abdallah II Street, 8th Circle, Building Number 384.</t>
  </si>
  <si>
    <t xml:space="preserve">Al Mitsannid </t>
  </si>
  <si>
    <t>PO BOX 113811</t>
  </si>
  <si>
    <t>Abu Dhabi</t>
  </si>
  <si>
    <t>Office #1101, Corniche Building</t>
  </si>
  <si>
    <t>Bldg. 386 - Al Orouba Road</t>
  </si>
  <si>
    <t>PO Box 90916</t>
  </si>
  <si>
    <t xml:space="preserve">Al Muruj </t>
  </si>
  <si>
    <t>Nation Towers 18th Floor,</t>
  </si>
  <si>
    <t>Dubai</t>
  </si>
  <si>
    <t>Mecca St. 29</t>
  </si>
  <si>
    <t xml:space="preserve">Po Box 950601 </t>
  </si>
  <si>
    <t xml:space="preserve">Crystal Business Tower, </t>
  </si>
  <si>
    <t>Sheikh Abdulrahman bin Hassan Street</t>
  </si>
  <si>
    <t>Safa Plaza Center. Price Majid Road</t>
  </si>
  <si>
    <t>Plot No. 107/27 Opposite TDFL</t>
  </si>
  <si>
    <t xml:space="preserve">PO BOX 37502 </t>
  </si>
  <si>
    <t xml:space="preserve">Al Jazah Road, </t>
  </si>
  <si>
    <t>Office BC 50, Emirates Business Centre</t>
  </si>
  <si>
    <t xml:space="preserve"> H9PV+P85</t>
  </si>
  <si>
    <t>Al Khuwair, 4508 Way, Post Box No: 1918, Office</t>
  </si>
  <si>
    <t>5th Floor Bank Sohar Building</t>
  </si>
  <si>
    <t xml:space="preserve"> Al Assalah Towers</t>
  </si>
  <si>
    <t>Prince Shaker Bin Zaid Street, Building No. 37, Al-Shumaysani,</t>
  </si>
  <si>
    <t>Likoni Rd,</t>
  </si>
  <si>
    <t xml:space="preserve">326th St </t>
  </si>
  <si>
    <t>Office # 105 One Lake Plaza</t>
  </si>
  <si>
    <t>57QC+7J3 Marasi Dr</t>
  </si>
  <si>
    <t>4038 Al Imam Abdullah Bin Saud Bin</t>
  </si>
  <si>
    <t>Dubai Internet City</t>
  </si>
  <si>
    <t xml:space="preserve">Grosvenor Business Tower, </t>
  </si>
  <si>
    <t>Guardian Center,</t>
  </si>
  <si>
    <t>Ruiru</t>
  </si>
  <si>
    <t xml:space="preserve"> West One, 3rd Floor Wambugu Grove</t>
  </si>
  <si>
    <t>QM Tower</t>
  </si>
  <si>
    <t>Conference Center Street</t>
  </si>
  <si>
    <t>79 Ave Hassan II</t>
  </si>
  <si>
    <t>Dubai Design District, Building 2, level 6 &amp; 7th Floor,</t>
  </si>
  <si>
    <t>6537 King Abdulaziz Road</t>
  </si>
  <si>
    <t>49th Floor - Business Bay</t>
  </si>
  <si>
    <t>Heliopolis</t>
  </si>
  <si>
    <t xml:space="preserve">PLAZA Fourth Floor (Wasfi Al Tal Str.) P.O. Box 1842, Zip Code 11953 ( Tla’a Ali ) </t>
  </si>
  <si>
    <t>PO Box 18024</t>
  </si>
  <si>
    <t xml:space="preserve">Department, BDF Hospital, </t>
  </si>
  <si>
    <t>Al Rigga</t>
  </si>
  <si>
    <t xml:space="preserve">Umm Hurair 2 </t>
  </si>
  <si>
    <t>Airport Rd - Al Garhoud</t>
  </si>
  <si>
    <t xml:space="preserve">Mansourieh , New Highway </t>
  </si>
  <si>
    <t>Port Gate Building, Gate #2 , 2nd Floor, Office No. 16</t>
  </si>
  <si>
    <t>5Q3R+FWM - Al Ruwaydat Military Zone</t>
  </si>
  <si>
    <t>Al Olaya District - PO Box 301964</t>
  </si>
  <si>
    <t>Riyadh 11623</t>
  </si>
  <si>
    <t>Corniche Road, PO Box 43999</t>
  </si>
  <si>
    <t>ADCB Metro</t>
  </si>
  <si>
    <t>Al-Ma’ather District, Unit No. 2</t>
  </si>
  <si>
    <t>PO Box 55467</t>
  </si>
  <si>
    <t>Building, Upanga Road, Dar Es</t>
  </si>
  <si>
    <t xml:space="preserve">Al Qouz </t>
  </si>
  <si>
    <t>Investment Park</t>
  </si>
  <si>
    <t>No 42, 4th Floor Building No: 777-1</t>
  </si>
  <si>
    <t>Dohat Al Adab Road</t>
  </si>
  <si>
    <t xml:space="preserve">6VCP+4X, Al Khinaq , </t>
  </si>
  <si>
    <t xml:space="preserve">AL Quoz, Industrial Area 2 </t>
  </si>
  <si>
    <t>Cluster T</t>
  </si>
  <si>
    <t>Business Bay</t>
  </si>
  <si>
    <t>Abdulaziz Rd, Al Yarmuk District</t>
  </si>
  <si>
    <t>Barsha Heights</t>
  </si>
  <si>
    <t>Biashara Street</t>
  </si>
  <si>
    <t>PO Box 2777</t>
  </si>
  <si>
    <t>West Bay, Building No. 4, St. No 836 Area No. 61</t>
  </si>
  <si>
    <t xml:space="preserve"> 2693 King Salman District</t>
  </si>
  <si>
    <t>Beirut</t>
  </si>
  <si>
    <t>Amman 11194</t>
  </si>
  <si>
    <t>Ramallah</t>
  </si>
  <si>
    <t>Cairo</t>
  </si>
  <si>
    <t>Dammam</t>
  </si>
  <si>
    <t>Uganda</t>
  </si>
  <si>
    <t>www.em-s.net</t>
  </si>
  <si>
    <t>Ain Misbah</t>
  </si>
  <si>
    <t>Al Olaya</t>
  </si>
  <si>
    <t>Kuwait City</t>
  </si>
  <si>
    <t>Riyadh 12475</t>
  </si>
  <si>
    <t>Jeddah, Makkah</t>
  </si>
  <si>
    <t>el-seif.com.sa</t>
  </si>
  <si>
    <t>https://www.ccds.ws/</t>
  </si>
  <si>
    <t>https://www.finzey.com/about.php</t>
  </si>
  <si>
    <t>Al Khobar 31952</t>
  </si>
  <si>
    <t>Kampala</t>
  </si>
  <si>
    <t>Nairobi</t>
  </si>
  <si>
    <t>https://www.sterlingparfums.com/contact</t>
  </si>
  <si>
    <t>Kenya</t>
  </si>
  <si>
    <t>www.almajidit.com</t>
  </si>
  <si>
    <t>https://www.maaden.com/</t>
  </si>
  <si>
    <t>https://www.khcc.jo/en</t>
  </si>
  <si>
    <t>Bur Dubai, Dubai</t>
  </si>
  <si>
    <t>https://www.safeboxtechnologies.com/</t>
  </si>
  <si>
    <t>Riyadh City 12382-3711</t>
  </si>
  <si>
    <t>https://site.sa/en/contact-us</t>
  </si>
  <si>
    <t>https://orientalme.com/</t>
  </si>
  <si>
    <t>https://ecza.gov.sa/en/contact-us</t>
  </si>
  <si>
    <t>WWW.DIRECTFN.COM</t>
  </si>
  <si>
    <t>https://virusrescuers.com/</t>
  </si>
  <si>
    <t>https://paramountassure.com/</t>
  </si>
  <si>
    <t>https://www.stcbank.com.sa/c</t>
  </si>
  <si>
    <t>https://dubailand.gov.ae/#/</t>
  </si>
  <si>
    <t>https://www.deyaar.ae/en/</t>
  </si>
  <si>
    <t>https://www.stats.gov.sa/en/</t>
  </si>
  <si>
    <t>https://modee.gov.jo/Default/Ar</t>
  </si>
  <si>
    <t>Ksa</t>
  </si>
  <si>
    <t>https://csmena.com/</t>
  </si>
  <si>
    <t>Sharjah</t>
  </si>
  <si>
    <t>https://mmainfosec.com/</t>
  </si>
  <si>
    <t>https://www.techmahindra.com/c</t>
  </si>
  <si>
    <t>Giza</t>
  </si>
  <si>
    <t>Al Jubail</t>
  </si>
  <si>
    <t>https://hadeed.com.sa/</t>
  </si>
  <si>
    <t>https://frontlinejo.com/</t>
  </si>
  <si>
    <t>https://sea.ac.ae/</t>
  </si>
  <si>
    <t>https://www.gco.gov.qa/en/</t>
  </si>
  <si>
    <t>https://www.bahwanit.com/</t>
  </si>
  <si>
    <t>https://distribution.nama.om/contact-us</t>
  </si>
  <si>
    <t>https://www.ampcuscyber.com/middle-east/uae/</t>
  </si>
  <si>
    <t>Noida</t>
  </si>
  <si>
    <t>IND</t>
  </si>
  <si>
    <t>https://fourcore.io</t>
  </si>
  <si>
    <t>www.idcuae.com</t>
  </si>
  <si>
    <t>https://rhc.jo/</t>
  </si>
  <si>
    <t>Manama</t>
  </si>
  <si>
    <t>https://www.ksoftme.com/</t>
  </si>
  <si>
    <t>https://salammobile.sa/en/</t>
  </si>
  <si>
    <t>https://www.romuz.com.sa/</t>
  </si>
  <si>
    <t>https://www.rasan.co/</t>
  </si>
  <si>
    <t>https://www.arabsat.com/</t>
  </si>
  <si>
    <t>https://www.crystel.co/</t>
  </si>
  <si>
    <t>www.gbmme.com</t>
  </si>
  <si>
    <t>https://inet.sa/about-us/</t>
  </si>
  <si>
    <t>Al Hidd</t>
  </si>
  <si>
    <t>Riyadh 13315</t>
  </si>
  <si>
    <t>https://www.msy.gov.qa/</t>
  </si>
  <si>
    <t>https://sukhtian.com/</t>
  </si>
  <si>
    <t>www.iggroup.ae</t>
  </si>
  <si>
    <t>https://www.crif.jo/Default/Ar</t>
  </si>
  <si>
    <t>Balcova-Izmir</t>
  </si>
  <si>
    <t>Muharraq</t>
  </si>
  <si>
    <t>www.gulfairgroup.bh</t>
  </si>
  <si>
    <t>https://www.saudieng.sa/Arabic/Pages/default.aspx</t>
  </si>
  <si>
    <t>https://sa.zain.com/en</t>
  </si>
  <si>
    <t>https://www.aliaict.com/</t>
  </si>
  <si>
    <t>http://al-ayuni.com/</t>
  </si>
  <si>
    <t>http://jepco.com.jo/ar/Home</t>
  </si>
  <si>
    <t>https://www.kfmc.med.sa/</t>
  </si>
  <si>
    <t>https://www.jaf.mil.jo/Defaulten.aspx</t>
  </si>
  <si>
    <t>http://energytech.edu.sa/</t>
  </si>
  <si>
    <t>https://www.works.gov.bh/</t>
  </si>
  <si>
    <t>https://www.apd.gov.sa/</t>
  </si>
  <si>
    <t>Karnataka</t>
  </si>
  <si>
    <t>https://www.safran-group.com/companies/safran-aircraft-engines</t>
  </si>
  <si>
    <t>Jubail</t>
  </si>
  <si>
    <t>http://www.mipco.ae/</t>
  </si>
  <si>
    <t>https://www.bankaletihad.com/</t>
  </si>
  <si>
    <t>http://www.jbs.com.jo/</t>
  </si>
  <si>
    <t>www.emircom.com</t>
  </si>
  <si>
    <t>https://www.gccksa.com/</t>
  </si>
  <si>
    <t>https://www.ic.sa/</t>
  </si>
  <si>
    <t>https://hawsabah.sa/</t>
  </si>
  <si>
    <t>https://www.itqan.ae/</t>
  </si>
  <si>
    <t>https://www.kasihfood.com/</t>
  </si>
  <si>
    <t>https://emitacnext.com/</t>
  </si>
  <si>
    <t>Islamabad</t>
  </si>
  <si>
    <t>www.nets-international.com</t>
  </si>
  <si>
    <t>https://www.mutah.edu.jo/</t>
  </si>
  <si>
    <t>www.cpx.net</t>
  </si>
  <si>
    <t>Riyadh 11526</t>
  </si>
  <si>
    <t>https://www.highpoint-tech.com/</t>
  </si>
  <si>
    <t>https://digitalteam-sa.com/</t>
  </si>
  <si>
    <t>https://www.mihnati.com/</t>
  </si>
  <si>
    <t>https://www.cdauae.com/</t>
  </si>
  <si>
    <t>https://axs.sa/</t>
  </si>
  <si>
    <t>https://globaltec.ps/</t>
  </si>
  <si>
    <t>https://gns.com.sa/</t>
  </si>
  <si>
    <t>https://dat-sa.com/</t>
  </si>
  <si>
    <t>http://binzomah.com/</t>
  </si>
  <si>
    <t>https://moxmon.com/</t>
  </si>
  <si>
    <t>https://www.bmainternationalgroup.com/</t>
  </si>
  <si>
    <t>https://mindfireit.com/</t>
  </si>
  <si>
    <t>PO Box: 183629, Dubai</t>
  </si>
  <si>
    <t>https://www.cloudmon.ai</t>
  </si>
  <si>
    <t>https://www.enec.gov.ae/</t>
  </si>
  <si>
    <t>JPN</t>
  </si>
  <si>
    <t>Paris</t>
  </si>
  <si>
    <t>FRA</t>
  </si>
  <si>
    <t>www.midisgroup.com</t>
  </si>
  <si>
    <t>KEN</t>
  </si>
  <si>
    <t>Somalia</t>
  </si>
  <si>
    <t>https://hashtag.tech</t>
  </si>
  <si>
    <t>Al Khobar</t>
  </si>
  <si>
    <t>Bachoura</t>
  </si>
  <si>
    <t>www.bulwark.biz</t>
  </si>
  <si>
    <t>New York</t>
  </si>
  <si>
    <t>USA</t>
  </si>
  <si>
    <t>https://www.exclusive-networks.com/ae/</t>
  </si>
  <si>
    <t>Riyadh,</t>
  </si>
  <si>
    <t>www.jawraa.com</t>
  </si>
  <si>
    <t>https://ripc.gov.sa/ar</t>
  </si>
  <si>
    <t>https://www.gami.gov.sa/ar</t>
  </si>
  <si>
    <t>nxdt.ai</t>
  </si>
  <si>
    <t>https://techlynx.ae/</t>
  </si>
  <si>
    <t>https://purecs.ae/</t>
  </si>
  <si>
    <t>California</t>
  </si>
  <si>
    <t>https://strikeready.com/</t>
  </si>
  <si>
    <t>Jeddah 21321</t>
  </si>
  <si>
    <t>https://www.saudia.com/</t>
  </si>
  <si>
    <t>Raidah Digital City,</t>
  </si>
  <si>
    <t>https://arabiccenter.ksaa.gov.sa/en/home</t>
  </si>
  <si>
    <t>https://genx.ae/</t>
  </si>
  <si>
    <t>https://www.2p.com.sa/ar</t>
  </si>
  <si>
    <t>www.certinety.com</t>
  </si>
  <si>
    <t>http://www.gbmme.com</t>
  </si>
  <si>
    <t>www.aramys.me</t>
  </si>
  <si>
    <t>https://www.mis.com.sa/</t>
  </si>
  <si>
    <t>Doha 13856</t>
  </si>
  <si>
    <t>https://www.qdsnet.com/</t>
  </si>
  <si>
    <t>Safat</t>
  </si>
  <si>
    <t>https://evad-me.com</t>
  </si>
  <si>
    <t>https://www.unicorptechnologies.com/</t>
  </si>
  <si>
    <t>https://www.meeza.net/</t>
  </si>
  <si>
    <t>London EC2A, 1NS</t>
  </si>
  <si>
    <t>UK</t>
  </si>
  <si>
    <t>https://www.alahli.com/</t>
  </si>
  <si>
    <t>https://www.diyarme.com</t>
  </si>
  <si>
    <t>Bizkaia</t>
  </si>
  <si>
    <t>https://www.sealpath.com/</t>
  </si>
  <si>
    <t>Riyadh 11421</t>
  </si>
  <si>
    <t>Saudi Business Machines Ltd "SBM"</t>
  </si>
  <si>
    <t>https://www.presight.ai/</t>
  </si>
  <si>
    <t>https://noventiq.ae/</t>
  </si>
  <si>
    <t>https://www.sirar.com.sa/contact-us/</t>
  </si>
  <si>
    <t>Riyadh 12331</t>
  </si>
  <si>
    <t>https://www.sejeltech.com/</t>
  </si>
  <si>
    <t>https://beta.ncm.gov.sa/en</t>
  </si>
  <si>
    <t>https://www.developmentaid.org</t>
  </si>
  <si>
    <t>iitcoman.com</t>
  </si>
  <si>
    <t>https://looppe.com/</t>
  </si>
  <si>
    <t>https://www.ngha.med.sa/Arabic/Pages/default.aspx</t>
  </si>
  <si>
    <t>https://cyberum.net/</t>
  </si>
  <si>
    <t>https://www.sure.com.sa/en/</t>
  </si>
  <si>
    <t>https://www.abdulla-fouad.com/products-services/information-technology.html</t>
  </si>
  <si>
    <t>https://www.sami.com.sa/contact-us</t>
  </si>
  <si>
    <t>https://www.touch.com.lb/autoforms/portal/touch</t>
  </si>
  <si>
    <t>https://ehs.com.jo/</t>
  </si>
  <si>
    <t>https://atriasolutions.com/</t>
  </si>
  <si>
    <t>https://sssd.shj.ae/en/</t>
  </si>
  <si>
    <t>https://www.islamicbank.ps/en</t>
  </si>
  <si>
    <t>www.ngt-tech.com</t>
  </si>
  <si>
    <t>www.stsarabia.com</t>
  </si>
  <si>
    <t>https://eletrobras.com/en/Paginas/home.aspx</t>
  </si>
  <si>
    <t>https://www.alyusr.com.sa/en</t>
  </si>
  <si>
    <t>https://www.my.gov.sa/</t>
  </si>
  <si>
    <t>https://www.dni.ae/</t>
  </si>
  <si>
    <t>Delaware</t>
  </si>
  <si>
    <t>London</t>
  </si>
  <si>
    <t>Burkina Faso</t>
  </si>
  <si>
    <t>https://www.sfda.gov.sa/en</t>
  </si>
  <si>
    <t>www.bankofjordan.com</t>
  </si>
  <si>
    <t>https://www.barqsystems.com/</t>
  </si>
  <si>
    <t>https://alnafitha.com/</t>
  </si>
  <si>
    <t>Colombes</t>
  </si>
  <si>
    <t>http://www.zahranholding.com/</t>
  </si>
  <si>
    <t>care@sdb.gov.sa</t>
  </si>
  <si>
    <t>Makkah 21955</t>
  </si>
  <si>
    <t>Makkah Luxury Hotels &amp; Vacations - Anjum Hotel Makkah</t>
  </si>
  <si>
    <t>Al Murabba, Riyadh 12628</t>
  </si>
  <si>
    <t>https://sirc.sa/</t>
  </si>
  <si>
    <t>https://exequt.com/</t>
  </si>
  <si>
    <t>Dakar</t>
  </si>
  <si>
    <t xml:space="preserve">https://borascale.com  </t>
  </si>
  <si>
    <t>https://www.ch-aviation.com/</t>
  </si>
  <si>
    <t>https://www.acalvio.com/</t>
  </si>
  <si>
    <t>Amwaj</t>
  </si>
  <si>
    <t>Bughazal</t>
  </si>
  <si>
    <t>Gaborone</t>
  </si>
  <si>
    <t> www.mascom.bw</t>
  </si>
  <si>
    <t>Jazan</t>
  </si>
  <si>
    <t>https://www.jazanu.edu.sa/ar</t>
  </si>
  <si>
    <t>https://www.nwc.com.sa/AR/Pages/default.aspx</t>
  </si>
  <si>
    <t>https://www.petrorabigh.com/en</t>
  </si>
  <si>
    <t>https://cloud9.com.sa/</t>
  </si>
  <si>
    <t>https://www.emiratesflightcatering.com/</t>
  </si>
  <si>
    <t>https://www.alfanar.com/</t>
  </si>
  <si>
    <t>https://www.thecloudshield.com/</t>
  </si>
  <si>
    <t>Mali</t>
  </si>
  <si>
    <t>http://dsc.sa/</t>
  </si>
  <si>
    <t>https://www.srca.org.sa/</t>
  </si>
  <si>
    <t>https://www.securenass.com/</t>
  </si>
  <si>
    <t>www.securenet.com.sa</t>
  </si>
  <si>
    <t>https://pr.gov.sa/</t>
  </si>
  <si>
    <t>https://www.my.gov.sa/wps/portal/snp/main</t>
  </si>
  <si>
    <t>https://eif.gov.ae/</t>
  </si>
  <si>
    <t>https://www.jcci.org.sa/</t>
  </si>
  <si>
    <t>www.qcs-qatar.com</t>
  </si>
  <si>
    <t>https://tjdeed.com/</t>
  </si>
  <si>
    <t>https://salam.sa/en/</t>
  </si>
  <si>
    <t>https://www.gig.com.jo/home?lang=en</t>
  </si>
  <si>
    <t>https://mustafasultan.com/</t>
  </si>
  <si>
    <t>https://boubyan.bankboubyan.com/en/</t>
  </si>
  <si>
    <t>https://www.dnb.com/business-directory</t>
  </si>
  <si>
    <t>Khalifa City</t>
  </si>
  <si>
    <t>https://u.ae/en/about-the-uae/the-uae-government/the-federal-supreme-council</t>
  </si>
  <si>
    <t>https://www.naizak.com/</t>
  </si>
  <si>
    <t>www.digitalokta.ae</t>
  </si>
  <si>
    <t>https://adf.gov.sa/en</t>
  </si>
  <si>
    <t>https://www.tss4it.com/</t>
  </si>
  <si>
    <t>https://scad.gov.ae/</t>
  </si>
  <si>
    <t>https://maraya.sba.net.ae/</t>
  </si>
  <si>
    <t>http://www.scisp.gov.sa/</t>
  </si>
  <si>
    <t>https://www.g42cloud.com/#/</t>
  </si>
  <si>
    <t>https://etihadwe.ae/</t>
  </si>
  <si>
    <t>www.emiratesislamic.ae</t>
  </si>
  <si>
    <t>https://www.ese.gov.ae/Ar/Pages/Home.aspx</t>
  </si>
  <si>
    <t>https://www.dmt.gov.ae/</t>
  </si>
  <si>
    <t>https://www.dmi.gov.ae/</t>
  </si>
  <si>
    <t>https://services.dha.gov.ae/</t>
  </si>
  <si>
    <t>https://www.agda.ac.ae/</t>
  </si>
  <si>
    <t>https://www.falconhospital.com/</t>
  </si>
  <si>
    <t>https://www.swpc.sa/</t>
  </si>
  <si>
    <t>https://www.ooredoo.qa/web/en/</t>
  </si>
  <si>
    <t>https://www.mcit.gov.sa/en</t>
  </si>
  <si>
    <t>https://www.qudsbank.ps/eng</t>
  </si>
  <si>
    <t>http://oman-arabbank.com</t>
  </si>
  <si>
    <t>https://www.zamilindustrial.com/en/</t>
  </si>
  <si>
    <t>https://sdaia.gov.sa/</t>
  </si>
  <si>
    <t>https://sgs.gov.sa/en</t>
  </si>
  <si>
    <t>https://www.samref.com.sa/</t>
  </si>
  <si>
    <t>Riyadh 11471</t>
  </si>
  <si>
    <t>Jeddah 23632</t>
  </si>
  <si>
    <t>https://pnu.edu.sa/</t>
  </si>
  <si>
    <t>https://www.nazaha.gov.sa/</t>
  </si>
  <si>
    <t>https://www.ndc.ac.ae/en/</t>
  </si>
  <si>
    <t>https://www.alahli.com/en/pages/about-us</t>
  </si>
  <si>
    <t>https://www.omaninfo.om</t>
  </si>
  <si>
    <t>https://www.matarat.com.sa/en-us</t>
  </si>
  <si>
    <t>https://www.masco.com.sa/</t>
  </si>
  <si>
    <t>https://www.masarfinance.com.sa/</t>
  </si>
  <si>
    <t>Dharan</t>
  </si>
  <si>
    <t>https://www.makeen-ksa.com/</t>
  </si>
  <si>
    <t>https://www.kkesh.med.sa/en-us/</t>
  </si>
  <si>
    <t>https://www.kaust.edu.sa/en/</t>
  </si>
  <si>
    <t>https://www.kafd.sa/</t>
  </si>
  <si>
    <t>https://www.kafalah.gov.sa/</t>
  </si>
  <si>
    <t>https://www.amiviz.com/home</t>
  </si>
  <si>
    <t>www.amiviz.com</t>
  </si>
  <si>
    <t>https://www.ithra.com/en</t>
  </si>
  <si>
    <t>Madinah</t>
  </si>
  <si>
    <t>https://iu.edu.sa/</t>
  </si>
  <si>
    <t>https://www.my.gov.sa</t>
  </si>
  <si>
    <t>https://www.gaca.gov.sa/web/ar-sa/page/home</t>
  </si>
  <si>
    <t>https://www.gca.gov.sa/Pages/homePage.aspx</t>
  </si>
  <si>
    <t>https://www.gasco.com.sa/ar/Pages/default.aspx</t>
  </si>
  <si>
    <t xml:space="preserve">Jeddah </t>
  </si>
  <si>
    <t>https://www.flyadeal.com/</t>
  </si>
  <si>
    <t>https://www.fsf.gov.sa/</t>
  </si>
  <si>
    <t>https://saudiexim.gov.sa/en/Pages/default.aspx</t>
  </si>
  <si>
    <t>https://www.edaratgroup.com/</t>
  </si>
  <si>
    <t>https://www.eamana.gov.sa/</t>
  </si>
  <si>
    <t>Khobar</t>
  </si>
  <si>
    <t>https://www.epcco.com.sa/</t>
  </si>
  <si>
    <t>https://dgda.gov.sa/en</t>
  </si>
  <si>
    <t>Al Hada</t>
  </si>
  <si>
    <t>https://naghi-group.com/cigalah-group/</t>
  </si>
  <si>
    <t>https://www.bayancb.com/ar/</t>
  </si>
  <si>
    <t>https://www.arabdrill.com/</t>
  </si>
  <si>
    <t>https://www.americanexpress.com.sa/</t>
  </si>
  <si>
    <t>https://www.al-amthal.com.sa/</t>
  </si>
  <si>
    <t>https://www.adaa.gov.sa/</t>
  </si>
  <si>
    <t>http://www.orange.jo</t>
  </si>
  <si>
    <t>https://dsl.orange.eg/ar/</t>
  </si>
  <si>
    <t>https://www.nbk.com/egypt.html</t>
  </si>
  <si>
    <t>https://cgc-sa.com/</t>
  </si>
  <si>
    <t>https://www.stc.com.bh/</t>
  </si>
  <si>
    <t>Hamala</t>
  </si>
  <si>
    <t>https://batelco.com/</t>
  </si>
  <si>
    <t xml:space="preserve">Midis Group MDS UAE </t>
  </si>
  <si>
    <t xml:space="preserve"> St-Laurent, QC</t>
  </si>
  <si>
    <t>CAN</t>
  </si>
  <si>
    <t>https://www.alfalak.com/</t>
  </si>
  <si>
    <t>https://www.gbmme.com/</t>
  </si>
  <si>
    <t>At Taawun,Riyadh</t>
  </si>
  <si>
    <t>https://infratech.com.sa/</t>
  </si>
  <si>
    <t>Riaydh</t>
  </si>
  <si>
    <t>https://www.geer.com.sa/</t>
  </si>
  <si>
    <t>https://www.simpra.om/</t>
  </si>
  <si>
    <t>www.dimensiondata.com</t>
  </si>
  <si>
    <t>https://betait.net/</t>
  </si>
  <si>
    <t>https://www.infinitepl.com/</t>
  </si>
  <si>
    <t>https://techpace.net/</t>
  </si>
  <si>
    <t>https://elitehorizon-ict.com/</t>
  </si>
  <si>
    <t>Jeddah-21442</t>
  </si>
  <si>
    <t>https://btcnetworks.net/</t>
  </si>
  <si>
    <t xml:space="preserve">Dubai </t>
  </si>
  <si>
    <t>https://www.dubaichambers.com/en/</t>
  </si>
  <si>
    <t>PO BOX 76, Doha</t>
  </si>
  <si>
    <t>Kigali</t>
  </si>
  <si>
    <t>https://www.risa.gov.rw/</t>
  </si>
  <si>
    <t>https://www.xactasolutions.com/</t>
  </si>
  <si>
    <t>https://rafaltech.com/home</t>
  </si>
  <si>
    <t>https://dsshield.com/</t>
  </si>
  <si>
    <t>https://securitymatterz.com/</t>
  </si>
  <si>
    <t>https://www.aecl.com/ar/</t>
  </si>
  <si>
    <t>https://smart.sa/</t>
  </si>
  <si>
    <t>https://nanjgel.com/frontend/</t>
  </si>
  <si>
    <t>https://www.myclinic.com.sa/</t>
  </si>
  <si>
    <t>Ankara</t>
  </si>
  <si>
    <t>https://www.sekom.com.tr/en/</t>
  </si>
  <si>
    <t xml:space="preserve">Nairobi </t>
  </si>
  <si>
    <t xml:space="preserve">N/A </t>
  </si>
  <si>
    <t>https://www.ufico.com</t>
  </si>
  <si>
    <t>https://shabkati.com/</t>
  </si>
  <si>
    <t xml:space="preserve">West Riffa </t>
  </si>
  <si>
    <t>https://rms.bh</t>
  </si>
  <si>
    <t>https://www.dm.gov.ae</t>
  </si>
  <si>
    <t xml:space="preserve">https://cybergate.tech </t>
  </si>
  <si>
    <t>https://www.gerabsys.com</t>
  </si>
  <si>
    <t xml:space="preserve">Lebanon </t>
  </si>
  <si>
    <t>https://www.lebarmy.gov.lb</t>
  </si>
  <si>
    <t xml:space="preserve">Beirut </t>
  </si>
  <si>
    <t xml:space="preserve">https://www.em-s.net </t>
  </si>
  <si>
    <t>hhttps://saudicargo.com</t>
  </si>
  <si>
    <t>http://compusoftme.com/</t>
  </si>
  <si>
    <t>http//www.jcbank.com.jo</t>
  </si>
  <si>
    <t xml:space="preserve">Sharjah </t>
  </si>
  <si>
    <t>https://quantum-me.com</t>
  </si>
  <si>
    <t>https://www.ncema.gov.ae/en/contact-us.aspx</t>
  </si>
  <si>
    <t xml:space="preserve">Abu Dhabi </t>
  </si>
  <si>
    <t>https://caa.ae</t>
  </si>
  <si>
    <t>https://cyberx.ae/contact/</t>
  </si>
  <si>
    <t>https://www.albaraka.com.sy/</t>
  </si>
  <si>
    <t>Damascus</t>
  </si>
  <si>
    <t>https://www.bbsfbank.com/</t>
  </si>
  <si>
    <t>Riyadh 11372</t>
  </si>
  <si>
    <t xml:space="preserve">Riyadh </t>
  </si>
  <si>
    <t>rafedsa.com/ar</t>
  </si>
  <si>
    <t>https://www.iggroup.ae/</t>
  </si>
  <si>
    <t>https://www.moe.gov.ae/En/Pages/contactus.aspx</t>
  </si>
  <si>
    <t>https://www.menabev.com</t>
  </si>
  <si>
    <t>https://www.ssc.gov.jo</t>
  </si>
  <si>
    <t>https://www.investbank.jo</t>
  </si>
  <si>
    <t>www.medhyacomtechnology.com</t>
  </si>
  <si>
    <t>https://www.saib.com.sa/en</t>
  </si>
  <si>
    <t>https://www.samawave.com/contactus</t>
  </si>
  <si>
    <t>https://ncsc.jo/Default/Ar/</t>
  </si>
  <si>
    <t>Salaam</t>
  </si>
  <si>
    <t>https://cctz.com/</t>
  </si>
  <si>
    <t>purplerockdubai.com</t>
  </si>
  <si>
    <t>Ras Al Khaimah</t>
  </si>
  <si>
    <t>https://rakchamber.ae/</t>
  </si>
  <si>
    <t>csc.gov.ae</t>
  </si>
  <si>
    <t>https://en.aljazirahford.com</t>
  </si>
  <si>
    <t>https://wwwaqaribank.jo</t>
  </si>
  <si>
    <t xml:space="preserve">Muscat </t>
  </si>
  <si>
    <t>https://www.rca.gov.om</t>
  </si>
  <si>
    <t>https://www.tuvsud.com</t>
  </si>
  <si>
    <t>https://nationalfinance.co.om</t>
  </si>
  <si>
    <t xml:space="preserve">Https://omaniservices.com.com </t>
  </si>
  <si>
    <t>Sakakah</t>
  </si>
  <si>
    <t>https://ju.edu.sa</t>
  </si>
  <si>
    <t>https://artech.com.sa</t>
  </si>
  <si>
    <t>https://www.bahwanengineering.com</t>
  </si>
  <si>
    <t xml:space="preserve">Baghdad </t>
  </si>
  <si>
    <t>https://alkhairat-iraq.com</t>
  </si>
  <si>
    <t xml:space="preserve">Al Muthana Governorate </t>
  </si>
  <si>
    <t>https://www.samancement.iq</t>
  </si>
  <si>
    <t xml:space="preserve"> Irbid</t>
  </si>
  <si>
    <t>https://www.just.edu.jo</t>
  </si>
  <si>
    <t>https://hbtf.com</t>
  </si>
  <si>
    <t>https://www.hrsd.gov.sa/en</t>
  </si>
  <si>
    <t xml:space="preserve">Damascus </t>
  </si>
  <si>
    <t>https:www.casi.net</t>
  </si>
  <si>
    <t>www.mijad.com</t>
  </si>
  <si>
    <t xml:space="preserve"> Nairobi</t>
  </si>
  <si>
    <t>https://www.crownpaints.co.ke</t>
  </si>
  <si>
    <t>https://www.eo.ae</t>
  </si>
  <si>
    <t>https://visiontechsolutions.com</t>
  </si>
  <si>
    <t>https://ams-madamedia.rta.ae</t>
  </si>
  <si>
    <t>Riyadh, 13251</t>
  </si>
  <si>
    <t>https://rt.com.sa/en/</t>
  </si>
  <si>
    <t>Zarqa</t>
  </si>
  <si>
    <t>https://hu.edu.jo</t>
  </si>
  <si>
    <t>http://www.cvdb.gov.jo</t>
  </si>
  <si>
    <t>https://www.mtn.com/#</t>
  </si>
  <si>
    <t>https://telcovasworld.com/</t>
  </si>
  <si>
    <t xml:space="preserve">https://guardian -bank.com </t>
  </si>
  <si>
    <t xml:space="preserve">https//www.narius.africa </t>
  </si>
  <si>
    <t>https://rms.co.ke</t>
  </si>
  <si>
    <t>Nairobi,</t>
  </si>
  <si>
    <t>https://qm.org.qa/</t>
  </si>
  <si>
    <t>https://www.mot.gov.qa/</t>
  </si>
  <si>
    <t>https://Kapa-oil.com</t>
  </si>
  <si>
    <t>https://ids.ke</t>
  </si>
  <si>
    <t xml:space="preserve">Casablanca </t>
  </si>
  <si>
    <t>https://www.groupebcp.com</t>
  </si>
  <si>
    <t xml:space="preserve">casablanca </t>
  </si>
  <si>
    <t>https://arcashield.com</t>
  </si>
  <si>
    <t>dubaiculture.gov.ae</t>
  </si>
  <si>
    <t>https://ahli.com</t>
  </si>
  <si>
    <t>https://pepsioman.com</t>
  </si>
  <si>
    <t>https://ksia.sa/</t>
  </si>
  <si>
    <t>https//:www.psut.edu.jo</t>
  </si>
  <si>
    <t>https://nesma-injazat.com</t>
  </si>
  <si>
    <t>https://www.riyadhholdings.sa</t>
  </si>
  <si>
    <t>https://www.visionbank.com.sa/</t>
  </si>
  <si>
    <t>https://www.bhmuae.ae</t>
  </si>
  <si>
    <t>https://techecs.com/about-ecs/</t>
  </si>
  <si>
    <t>Dubai Internet City, PO Box 5536</t>
  </si>
  <si>
    <t>Kawasaki, Kanagawa 216-4,</t>
  </si>
  <si>
    <t>42 Riyadh</t>
  </si>
  <si>
    <t>https://www.swfinstitute.org/profile/598cdaa6124e9fd2d5bc3b#google_vignette</t>
  </si>
  <si>
    <t>Amman, 448, Amman 11935</t>
  </si>
  <si>
    <t>Rio De Janeiro 291</t>
  </si>
  <si>
    <t>Hamdallaye ACI 2</t>
  </si>
  <si>
    <t>Jeddah 23466 -139, 288 Jeddah Makkah,21514</t>
  </si>
  <si>
    <t>Dubai 584</t>
  </si>
  <si>
    <t>Riyadh 881</t>
  </si>
  <si>
    <t>https://xc36.co.ke</t>
  </si>
  <si>
    <t>(02)24158219</t>
  </si>
  <si>
    <t>+966920011444</t>
  </si>
  <si>
    <t>971501167397</t>
  </si>
  <si>
    <t>04 391 1700</t>
  </si>
  <si>
    <t>20 2 3536 1214</t>
  </si>
  <si>
    <t>919768935168</t>
  </si>
  <si>
    <t>9868129746</t>
  </si>
  <si>
    <t>+962 6 463 7341</t>
  </si>
  <si>
    <t xml:space="preserve">
+966 92 000 8124</t>
  </si>
  <si>
    <t>971544900526</t>
  </si>
  <si>
    <t>+962 788845676</t>
  </si>
  <si>
    <t>97317584333</t>
  </si>
  <si>
    <t>+966565230230</t>
  </si>
  <si>
    <t> +966 11 216 1393</t>
  </si>
  <si>
    <t>971529033888</t>
  </si>
  <si>
    <t xml:space="preserve"> 96659 244 3460</t>
  </si>
  <si>
    <t>923349590567</t>
  </si>
  <si>
    <t>971554373315</t>
  </si>
  <si>
    <t>966559989700</t>
  </si>
  <si>
    <t>+133416827</t>
  </si>
  <si>
    <t>04 816 9777</t>
  </si>
  <si>
    <t>+971521819545</t>
  </si>
  <si>
    <t>+966531112356</t>
  </si>
  <si>
    <t>+971 56 138 4379</t>
  </si>
  <si>
    <t>+971 04 4572 8579</t>
  </si>
  <si>
    <t>+966503918529</t>
  </si>
  <si>
    <t>+254721421000</t>
  </si>
  <si>
    <t>+966507702122</t>
  </si>
  <si>
    <t>055 9020 569</t>
  </si>
  <si>
    <t xml:space="preserve"> 1 (708) 557-0813 </t>
  </si>
  <si>
    <t>+966 59 199 4932</t>
  </si>
  <si>
    <t>+971-564168397</t>
  </si>
  <si>
    <t xml:space="preserve"> +966552333312</t>
  </si>
  <si>
    <t> +971551285402</t>
  </si>
  <si>
    <t>+966561455708</t>
  </si>
  <si>
    <t>+966546342917</t>
  </si>
  <si>
    <t>+9668001244421</t>
  </si>
  <si>
    <t>+974-4443 9900</t>
  </si>
  <si>
    <t>+971 4 4471595</t>
  </si>
  <si>
    <t xml:space="preserve"> +974 4004 0000</t>
  </si>
  <si>
    <t>+974 44216908</t>
  </si>
  <si>
    <t>+34944425922</t>
  </si>
  <si>
    <t>+966118133166</t>
  </si>
  <si>
    <t>+966 0112602700</t>
  </si>
  <si>
    <t xml:space="preserve">
24333361</t>
  </si>
  <si>
    <t>+202 25 27 09 30</t>
  </si>
  <si>
    <t>+966118011111</t>
  </si>
  <si>
    <t>966112050043</t>
  </si>
  <si>
    <t>+962 6 580 0461</t>
  </si>
  <si>
    <t>+971  6 501 5555</t>
  </si>
  <si>
    <t>+971 4 351 7 44 3</t>
  </si>
  <si>
    <t>+962 6 580 2626</t>
  </si>
  <si>
    <t>+55 21 2514-5151</t>
  </si>
  <si>
    <t xml:space="preserve">00966114794444    </t>
  </si>
  <si>
    <t>+(469 620 7643</t>
  </si>
  <si>
    <t>+966502476486</t>
  </si>
  <si>
    <t>+966592406366</t>
  </si>
  <si>
    <t>+97377288886</t>
  </si>
  <si>
    <t>966115121746</t>
  </si>
  <si>
    <t>+966555177196</t>
  </si>
  <si>
    <t>+966 9200 00007</t>
  </si>
  <si>
    <t>+966 12 239 8000</t>
  </si>
  <si>
    <t>+974 71 720809</t>
  </si>
  <si>
    <t>+97126810680</t>
  </si>
  <si>
    <t>+974 44450355</t>
  </si>
  <si>
    <t>+971-2-6147041</t>
  </si>
  <si>
    <t>+920018388</t>
  </si>
  <si>
    <t> 06 501 1111</t>
  </si>
  <si>
    <t>+971 2 817 9490</t>
  </si>
  <si>
    <t>+971 800 3392</t>
  </si>
  <si>
    <t>600 599 995</t>
  </si>
  <si>
    <t>+97143077000</t>
  </si>
  <si>
    <t>600 59 59 53</t>
  </si>
  <si>
    <t>+97444031111</t>
  </si>
  <si>
    <t> +974 4473 3333</t>
  </si>
  <si>
    <t>+96824754444</t>
  </si>
  <si>
    <t>800 122 1111</t>
  </si>
  <si>
    <t>+966112103333</t>
  </si>
  <si>
    <t>+966118220000</t>
  </si>
  <si>
    <t>+966114035518</t>
  </si>
  <si>
    <t>+966112644444</t>
  </si>
  <si>
    <t>+971 2 4961221</t>
  </si>
  <si>
    <t>9 2000 1000</t>
  </si>
  <si>
    <t> 24333361 – 24338734</t>
  </si>
  <si>
    <t>+966 11 4031888</t>
  </si>
  <si>
    <t>+9668002442233</t>
  </si>
  <si>
    <t>+966135122002</t>
  </si>
  <si>
    <t>+966114821234</t>
  </si>
  <si>
    <t>+966920000247</t>
  </si>
  <si>
    <t> '+966112917676</t>
  </si>
  <si>
    <t>6149999 (012)</t>
  </si>
  <si>
    <t> 800 122 12 24</t>
  </si>
  <si>
    <t>+966920022042</t>
  </si>
  <si>
    <t>+966115253333</t>
  </si>
  <si>
    <t>+966114056770</t>
  </si>
  <si>
    <t>+966920009911</t>
  </si>
  <si>
    <t>+966112009444</t>
  </si>
  <si>
    <t>+966 800 433 3330</t>
  </si>
  <si>
    <t>+ 966112057838</t>
  </si>
  <si>
    <t>+966138341000</t>
  </si>
  <si>
    <t>+966138812222 </t>
  </si>
  <si>
    <t>+966920002622</t>
  </si>
  <si>
    <t>+966 (0)12 6614047</t>
  </si>
  <si>
    <t>8001242111</t>
  </si>
  <si>
    <t>+966138297000</t>
  </si>
  <si>
    <t>800 124 2229</t>
  </si>
  <si>
    <t>+966920001156</t>
  </si>
  <si>
    <t>+962 6 460 6666</t>
  </si>
  <si>
    <t>+973 3312 4124</t>
  </si>
  <si>
    <t>+971 26130733 </t>
  </si>
  <si>
    <t xml:space="preserve">+920009415 </t>
  </si>
  <si>
    <t xml:space="preserve"> +966 11 444 9944</t>
  </si>
  <si>
    <t>+966-011-4192019</t>
  </si>
  <si>
    <t>+971 2 693 4300</t>
  </si>
  <si>
    <t> +968 24155 888</t>
  </si>
  <si>
    <t>Tel: +966(0) 1 4555295</t>
  </si>
  <si>
    <t>Tel: +971 4 706 1111</t>
  </si>
  <si>
    <t>+966 54 527 2864</t>
  </si>
  <si>
    <t>+966556661497</t>
  </si>
  <si>
    <t>+966126918787</t>
  </si>
  <si>
    <t>800 2426237</t>
  </si>
  <si>
    <t>+96265340010</t>
  </si>
  <si>
    <t>+97144471595</t>
  </si>
  <si>
    <t>+966114579181</t>
  </si>
  <si>
    <t> +966 11 220 1350</t>
  </si>
  <si>
    <t>+966920024779</t>
  </si>
  <si>
    <t> 04 442 8910</t>
  </si>
  <si>
    <t>+966 9200 22811</t>
  </si>
  <si>
    <t>+966 11 200 6066</t>
  </si>
  <si>
    <t>+966 11 293 4255</t>
  </si>
  <si>
    <t>+90 216 412 10 40</t>
  </si>
  <si>
    <t xml:space="preserve"> +962 6 510 5111</t>
  </si>
  <si>
    <t>+962065524777</t>
  </si>
  <si>
    <t>04 357 7427</t>
  </si>
  <si>
    <t>+966138144753</t>
  </si>
  <si>
    <t>+971 02 417 7000</t>
  </si>
  <si>
    <t>+971 56 580 5690</t>
  </si>
  <si>
    <t>+966112655300</t>
  </si>
  <si>
    <t>+971 45700426</t>
  </si>
  <si>
    <t>Moussa Khaled</t>
  </si>
  <si>
    <t>Sales - Account Manager</t>
  </si>
  <si>
    <t>+966537919197</t>
  </si>
  <si>
    <t>moussa.k@qdsarabia.com</t>
  </si>
  <si>
    <t>Ankur Mishra</t>
  </si>
  <si>
    <t>AVP Sales</t>
  </si>
  <si>
    <t>am@mmainfosec.com</t>
  </si>
  <si>
    <t>Gurpreet Singh</t>
  </si>
  <si>
    <t>Gurpreet.Singh65@techmahindra.com</t>
  </si>
  <si>
    <t>Ahmed Abdel Moniem </t>
  </si>
  <si>
    <t>Procurement Iteration Manager</t>
  </si>
  <si>
    <t>ahmed.abdelmoniem@ibm.com</t>
  </si>
  <si>
    <t>info@frontlinejo.com</t>
  </si>
  <si>
    <t>Omar Zaghlool</t>
  </si>
  <si>
    <t>Senior Network Engineer</t>
  </si>
  <si>
    <t>962776731411</t>
  </si>
  <si>
    <t xml:space="preserve">o.zaghlool@lss.jo </t>
  </si>
  <si>
    <t>Kavita K</t>
  </si>
  <si>
    <t>MDR Presales Lead</t>
  </si>
  <si>
    <t>kavita.konar@ampcuscyber.com</t>
  </si>
  <si>
    <t>Hardik Manocha</t>
  </si>
  <si>
    <t>COO &amp; Co-Founder</t>
  </si>
  <si>
    <t>Sherif Nour</t>
  </si>
  <si>
    <t>Head of IT &amp; Academic Computing</t>
  </si>
  <si>
    <t xml:space="preserve">melsaiedy@evad-me.com     </t>
  </si>
  <si>
    <t>Abdelrahman AlAgoury</t>
  </si>
  <si>
    <t>IT Network &amp; Security Officer</t>
  </si>
  <si>
    <t>abdelrahman.agouri@Crystel.co</t>
  </si>
  <si>
    <t>Tabish Mirza</t>
  </si>
  <si>
    <t>Security Sales Consultant</t>
  </si>
  <si>
    <t>97317584343</t>
  </si>
  <si>
    <t>tabish@gbmme.com</t>
  </si>
  <si>
    <t>Haitham Tolba</t>
  </si>
  <si>
    <t>Business Development Manager</t>
  </si>
  <si>
    <t>h.tolba@inet.sa</t>
  </si>
  <si>
    <t>info@prosecureme.com</t>
  </si>
  <si>
    <t xml:space="preserve">Rami Mufleh </t>
  </si>
  <si>
    <t>Technical Manager</t>
  </si>
  <si>
    <t>rami.mufleh@gtsigg.ae</t>
  </si>
  <si>
    <t>Mr. Rony Rajan, CIO</t>
  </si>
  <si>
    <t xml:space="preserve">ronie@mukita.com </t>
  </si>
  <si>
    <t>Haitham</t>
  </si>
  <si>
    <t>haitham.jneid@sa.zain.com</t>
  </si>
  <si>
    <t>saudisales@emircom.com</t>
  </si>
  <si>
    <t>info@hawsabah.sa</t>
  </si>
  <si>
    <t>M. Sohail Khalil</t>
  </si>
  <si>
    <t>Sr. Presales Consultant</t>
  </si>
  <si>
    <t>sohail.khalil@nets-international.com</t>
  </si>
  <si>
    <t>971551060197</t>
  </si>
  <si>
    <t>Raveena Valsalan</t>
  </si>
  <si>
    <t>Specialist - Procurement</t>
  </si>
  <si>
    <t>info@digitalteam-sa.com</t>
  </si>
  <si>
    <t>info@bmc.com.sa</t>
  </si>
  <si>
    <t>Majmoul Riyal</t>
  </si>
  <si>
    <t>mahmoud@cloud.com.sa</t>
  </si>
  <si>
    <t>info@DAT-SA.COM</t>
  </si>
  <si>
    <t>info@binzomah.com</t>
  </si>
  <si>
    <t>sales@moxmom.com</t>
  </si>
  <si>
    <t>Akhil George Thomas </t>
  </si>
  <si>
    <t xml:space="preserve">anil@mindfireit.com </t>
  </si>
  <si>
    <t>info@saargroup.net</t>
  </si>
  <si>
    <t>Simon Williams</t>
  </si>
  <si>
    <t>Vice President Channels and Partners</t>
  </si>
  <si>
    <t>simon.williams@cloudmon.ai</t>
  </si>
  <si>
    <t>Sunami Nakashima</t>
  </si>
  <si>
    <t>Accounting Manager</t>
  </si>
  <si>
    <t>nakashima@lvi.co.jp</t>
  </si>
  <si>
    <t>Anouck  Teiller</t>
  </si>
  <si>
    <t>anouck.teiller@harfanglab.fr</t>
  </si>
  <si>
    <t>Loay Hussain</t>
  </si>
  <si>
    <t>CEO</t>
  </si>
  <si>
    <t xml:space="preserve">Ammar Alhaj Suliman </t>
  </si>
  <si>
    <t>Presale Consultant</t>
  </si>
  <si>
    <t>a.suliman@mds-sa.com</t>
  </si>
  <si>
    <t>Mulki A. Issa</t>
  </si>
  <si>
    <t xml:space="preserve">Senior Projects Manager &amp; Strategic Communications Lead </t>
  </si>
  <si>
    <t>mulki.i@farsightafrica.com</t>
  </si>
  <si>
    <t>Anas Shayeb</t>
  </si>
  <si>
    <t>ashayeb@hashtag.tech</t>
  </si>
  <si>
    <t>info@atriasolutions.com</t>
  </si>
  <si>
    <t>Sheethal V.P</t>
  </si>
  <si>
    <t xml:space="preserve">Inside Sales Engineer </t>
  </si>
  <si>
    <t>sheethal@bulwarkme.com</t>
  </si>
  <si>
    <t>Mike Khattab</t>
  </si>
  <si>
    <t>mike.khattab@revbits.com</t>
  </si>
  <si>
    <t>Mohamad Abbas</t>
  </si>
  <si>
    <t>Senior Cloud Solution Architect</t>
  </si>
  <si>
    <t>mohammad.abbas@jawraa.com</t>
  </si>
  <si>
    <t>Smitha Vishnudev</t>
  </si>
  <si>
    <t>Sr Business Analyst</t>
  </si>
  <si>
    <t>smitha@nxdt.ai</t>
  </si>
  <si>
    <t xml:space="preserve">Salman Mazhar </t>
  </si>
  <si>
    <t>+971501594636</t>
  </si>
  <si>
    <t>smazhar@techlynx.ae</t>
  </si>
  <si>
    <t>Hasan Abdullah</t>
  </si>
  <si>
    <t>+971555579556</t>
  </si>
  <si>
    <t>Hasan@strikeready.com</t>
  </si>
  <si>
    <t>Mohammed Ali Hussain</t>
  </si>
  <si>
    <t>salamoodi@kfmmc.med.sa</t>
  </si>
  <si>
    <t>Majed Masarani</t>
  </si>
  <si>
    <t xml:space="preserve"> Yazeed Almohsen </t>
  </si>
  <si>
    <t>+966 55 233 3312</t>
  </si>
  <si>
    <t>YALMOHSEN@PIF.GOV.SA</t>
  </si>
  <si>
    <t>admissiongate@ksaa.gov.sa</t>
  </si>
  <si>
    <t>HANI AL KHASAWNEH</t>
  </si>
  <si>
    <t>Managing Director - MENA</t>
  </si>
  <si>
    <t>Alkhasawneh@certinety.com</t>
  </si>
  <si>
    <t>Saden</t>
  </si>
  <si>
    <t>s.maghrabi@concordarabia.com</t>
  </si>
  <si>
    <t>Fargham Ahsan</t>
  </si>
  <si>
    <t>Sales Engineer</t>
  </si>
  <si>
    <t>m.ahsan@aramys.me</t>
  </si>
  <si>
    <t>Jihad Nweyder</t>
  </si>
  <si>
    <t>+974-6685 9190</t>
  </si>
  <si>
    <t>jihad.nweyder@qdsnet.com</t>
  </si>
  <si>
    <t>Tefrin Anoop</t>
  </si>
  <si>
    <t>Sales Coordinator</t>
  </si>
  <si>
    <t>+971 26394700</t>
  </si>
  <si>
    <t>tefrin@cellinfo.ae</t>
  </si>
  <si>
    <t>Hamza Almajali</t>
  </si>
  <si>
    <t xml:space="preserve">Amer Hatoum </t>
  </si>
  <si>
    <t>Program Manager</t>
  </si>
  <si>
    <t>974 6654 6539</t>
  </si>
  <si>
    <t xml:space="preserve">Amer.Hatoum@meeza.net    </t>
  </si>
  <si>
    <t>Abdurahman Alotaiby</t>
  </si>
  <si>
    <t>aalotaibi@nrrc.gov.sa</t>
  </si>
  <si>
    <t>Ali Hassan Salame</t>
  </si>
  <si>
    <t>Procurement Director</t>
  </si>
  <si>
    <t>+965 97513534</t>
  </si>
  <si>
    <t>ali.salam@diyarme.com</t>
  </si>
  <si>
    <t>Shiva Kumar Shiva Shankaran</t>
  </si>
  <si>
    <t>ali.raza@arkad.com</t>
  </si>
  <si>
    <t>Khaled Al Rewate</t>
  </si>
  <si>
    <t>Emmanuel Uchenna</t>
  </si>
  <si>
    <t>Business Manager</t>
  </si>
  <si>
    <t>+971525953619</t>
  </si>
  <si>
    <t xml:space="preserve">emmanuel.uchenna@sealpath.com  </t>
  </si>
  <si>
    <t>Khalid Al Shammari</t>
  </si>
  <si>
    <t>shammarikhal@rcjy.gov.sa</t>
  </si>
  <si>
    <t>Ahmed Al-Hassan</t>
  </si>
  <si>
    <t>Cyber Security Presales</t>
  </si>
  <si>
    <t>+966566277763</t>
  </si>
  <si>
    <t>amhassan@sbm.com.sa</t>
  </si>
  <si>
    <t>Omar Alsaeed</t>
  </si>
  <si>
    <t>o.alsaeed@awqaf.gov.sa</t>
  </si>
  <si>
    <t>Benny Babu</t>
  </si>
  <si>
    <t>+971556409332</t>
  </si>
  <si>
    <t>benny.babu@presight.ai</t>
  </si>
  <si>
    <t>Ajin Philip</t>
  </si>
  <si>
    <t>Procurement Executive</t>
  </si>
  <si>
    <t>+971 50 358 4157</t>
  </si>
  <si>
    <t>pajin@sstech.net</t>
  </si>
  <si>
    <t>Senior Sales Account Manager</t>
  </si>
  <si>
    <t>h.elgebaly@gt-ict.com</t>
  </si>
  <si>
    <t>Feras Alkhaldi</t>
  </si>
  <si>
    <t>Presales Senior Architect I</t>
  </si>
  <si>
    <t>+966504462176</t>
  </si>
  <si>
    <t>falkhaldi@sirar.com.sa</t>
  </si>
  <si>
    <t>Mahmoud Khachouk</t>
  </si>
  <si>
    <t>+966567898825</t>
  </si>
  <si>
    <t>mkhachouk@sejeltech.com</t>
  </si>
  <si>
    <t>aravind@iitcoman.com</t>
  </si>
  <si>
    <t>Marwan</t>
  </si>
  <si>
    <t>+966 56 996 0031</t>
  </si>
  <si>
    <t>ALBELEWIMA@MNGHA.MED.SA</t>
  </si>
  <si>
    <t>+966 9200 00977</t>
  </si>
  <si>
    <t>Saud Alyami</t>
  </si>
  <si>
    <t>+966 55 590 0674</t>
  </si>
  <si>
    <t>saud@pssisp.gov.sa</t>
  </si>
  <si>
    <t>Faizer</t>
  </si>
  <si>
    <t>+966 50 300 4710</t>
  </si>
  <si>
    <t>marwa bakoor</t>
  </si>
  <si>
    <t>Purchaser</t>
  </si>
  <si>
    <t>Khalid Khalaf</t>
  </si>
  <si>
    <t>Mohamad AlGhabra</t>
  </si>
  <si>
    <t>Managing Director</t>
  </si>
  <si>
    <t>+971 55 7973289</t>
  </si>
  <si>
    <t>mghabra@ngt-tech.com</t>
  </si>
  <si>
    <t>Lujain Ahmed</t>
  </si>
  <si>
    <t>Presales Engineer, Networking</t>
  </si>
  <si>
    <t>+962 6 582 9213</t>
  </si>
  <si>
    <t>Lujain.Ahmed@stsarabia.com</t>
  </si>
  <si>
    <t xml:space="preserve">Mohammad Badarneh </t>
  </si>
  <si>
    <t>Core and VAS Manager</t>
  </si>
  <si>
    <t>962795346639</t>
  </si>
  <si>
    <t>Mohammad.Badarneh@jo.zain.com</t>
  </si>
  <si>
    <t xml:space="preserve">Saleh Alshubaily </t>
  </si>
  <si>
    <t>Cyber Security Sr. Specialist</t>
  </si>
  <si>
    <t>0594044019</t>
  </si>
  <si>
    <t>salshubaily@alyusr.com.sa</t>
  </si>
  <si>
    <t>Hadeel Abdullah Aldaej</t>
  </si>
  <si>
    <t>haaldaej@barq.com</t>
  </si>
  <si>
    <t>Issa AFOLA</t>
  </si>
  <si>
    <t>IAfola@bdu-bf.com</t>
  </si>
  <si>
    <t>Salem Melhem</t>
  </si>
  <si>
    <t>Senior Account M&lt;anager</t>
  </si>
  <si>
    <t xml:space="preserve">smelhem@procomme.com  </t>
  </si>
  <si>
    <t>Muhammad Jamil</t>
  </si>
  <si>
    <t>Pocurenent Manager</t>
  </si>
  <si>
    <t>jamil@nour.net.sa</t>
  </si>
  <si>
    <t>info@alnafitha.com</t>
  </si>
  <si>
    <t>Salem Bawafi</t>
  </si>
  <si>
    <t>Purchasing Clerk</t>
  </si>
  <si>
    <t>bawafi@anjumhotels.com</t>
  </si>
  <si>
    <t>info@sirc.sa</t>
  </si>
  <si>
    <t>Ibrahima Camara</t>
  </si>
  <si>
    <t>GM &amp; Co-founder</t>
  </si>
  <si>
    <t>+221 77 350 99 95</t>
  </si>
  <si>
    <t xml:space="preserve">ibrahima.camara@borascale.com </t>
  </si>
  <si>
    <t xml:space="preserve">Sudheep Kooniyath Nair </t>
  </si>
  <si>
    <t>Sultan Alosaimy</t>
  </si>
  <si>
    <t>sultan.alosaimy@lebara.sa</t>
  </si>
  <si>
    <t>Kashif Mateen Mohammed</t>
  </si>
  <si>
    <t>Accountant</t>
  </si>
  <si>
    <t>OS.HAlAzizi@tanmiah.gov.sa</t>
  </si>
  <si>
    <t>Haitham Baraka</t>
  </si>
  <si>
    <t>971501147200</t>
  </si>
  <si>
    <t>haitham@acalvio.com</t>
  </si>
  <si>
    <t>Yash Paul Sharma</t>
  </si>
  <si>
    <t>Manager</t>
  </si>
  <si>
    <t>+97335958240</t>
  </si>
  <si>
    <t xml:space="preserve">Thatayaone Motswasele
		</t>
  </si>
  <si>
    <t xml:space="preserve"> Senior Procurement Officer</t>
  </si>
  <si>
    <t>Waleed Alturabhi</t>
  </si>
  <si>
    <t>+966 55 444 2775</t>
  </si>
  <si>
    <t>Khan, Muhammad S. (ICT-SSU)</t>
  </si>
  <si>
    <t>KHANMS0C@petrorabigh.com 
JAMALNW@petrorabigh.com</t>
  </si>
  <si>
    <t>Yusuf Ogunsanya</t>
  </si>
  <si>
    <t>Chhotu Dilip Bambal</t>
  </si>
  <si>
    <t>chhotub@ekfc.ae</t>
  </si>
  <si>
    <t>info@thecloudshield.com</t>
  </si>
  <si>
    <t xml:space="preserve">Idrissa Diop GAYE </t>
  </si>
  <si>
    <t>idygaye@gmail.com</t>
  </si>
  <si>
    <t>Info@dsc.sa</t>
  </si>
  <si>
    <t xml:space="preserve">Abdurahman </t>
  </si>
  <si>
    <t>Muhammad Athar</t>
  </si>
  <si>
    <t>+966 56 049 0369</t>
  </si>
  <si>
    <t>Hala El-Hatim</t>
  </si>
  <si>
    <t>Sales Support Manager</t>
  </si>
  <si>
    <t>hala@securenet.com.sa</t>
  </si>
  <si>
    <t>Thamer Rubaiq</t>
  </si>
  <si>
    <t>tarobeeq@mos.gov.sa</t>
  </si>
  <si>
    <t xml:space="preserve">Abdullah Jamal </t>
  </si>
  <si>
    <t>abdullahh@jcci.org.sa</t>
  </si>
  <si>
    <t>Muhammad Faheem</t>
  </si>
  <si>
    <t>Product Manager - CyberSecurity</t>
  </si>
  <si>
    <t>faheem@qcs-qatar.com</t>
  </si>
  <si>
    <t>Adnan Al Khatib</t>
  </si>
  <si>
    <t>adnan.alkhatib@bh.zain.com</t>
  </si>
  <si>
    <t xml:space="preserve">Mohamed Almassimi </t>
  </si>
  <si>
    <t>Customer.s@moj.gove.ae</t>
  </si>
  <si>
    <t>Said Zaki</t>
  </si>
  <si>
    <t>said.zaki@qna.org.qa</t>
  </si>
  <si>
    <t>info@digitalokta.ae</t>
  </si>
  <si>
    <t>Saleh AlOnzi</t>
  </si>
  <si>
    <t>Salih.alonazi@adf.gov.sa</t>
  </si>
  <si>
    <t>info@tss.sa</t>
  </si>
  <si>
    <t>Sachin Dhawan</t>
  </si>
  <si>
    <t>+971529415275</t>
  </si>
  <si>
    <t>sachin.dhawan@g42.ai</t>
  </si>
  <si>
    <t>Hamdi Naji Ahmed Al Balal</t>
  </si>
  <si>
    <t>hamdi.albahal@etihadwe.ae</t>
  </si>
  <si>
    <t>info@ese.gov.ae</t>
  </si>
  <si>
    <t>mailus@dmi.ae</t>
  </si>
  <si>
    <t>info@dha.gov.ae</t>
  </si>
  <si>
    <t> info@agda.ac.ae</t>
  </si>
  <si>
    <t>+971507113017</t>
  </si>
  <si>
    <t>info@adfh.ae</t>
  </si>
  <si>
    <t>Khalid Alhajiri</t>
  </si>
  <si>
    <t>k.alhajri@swpc.com</t>
  </si>
  <si>
    <t>Yoonas Cherachamveettil Kalathil</t>
  </si>
  <si>
    <t>+974 44404586</t>
  </si>
  <si>
    <t>Ahemd Wahid</t>
  </si>
  <si>
    <t>awahed@mcit.gov.qa</t>
  </si>
  <si>
    <t>contactus@oman-arabbank.com</t>
  </si>
  <si>
    <t>Sameh Alnakhbi</t>
  </si>
  <si>
    <t>nakhbi.sa@sgs.org.sa</t>
  </si>
  <si>
    <t>Fatemah Bahakeem</t>
  </si>
  <si>
    <t>966-14396-7926</t>
  </si>
  <si>
    <t>Fatemah.M.Bahakeem@samref.com.sa</t>
  </si>
  <si>
    <t>Yasser Alharbi</t>
  </si>
  <si>
    <t>yalharbi@gfsa.com</t>
  </si>
  <si>
    <t>Mohamed Swiadan</t>
  </si>
  <si>
    <t>+966 55 520 4235</t>
  </si>
  <si>
    <t>Dasthakeer Shihabudeen</t>
  </si>
  <si>
    <t>+966 55 499 5700</t>
  </si>
  <si>
    <t>dasthakeer.shihabudeen@rawabiholding.com</t>
  </si>
  <si>
    <t>Ahsan Bashir PNU AEC</t>
  </si>
  <si>
    <t>966 50 274 4560 / 966 56 538 2496</t>
  </si>
  <si>
    <t>ABASHIR@pnu.edu.sa</t>
  </si>
  <si>
    <t xml:space="preserve">Ahmed Alfozan </t>
  </si>
  <si>
    <t>a.alfouzan@nsc.gov.sa</t>
  </si>
  <si>
    <t xml:space="preserve">Melfee Almalki </t>
  </si>
  <si>
    <t>malmalki@nru.gov.sa</t>
  </si>
  <si>
    <t>info@nazaha.gov.sa</t>
  </si>
  <si>
    <t>info@secure-networksco.com</t>
  </si>
  <si>
    <t>contactus@alahli.com</t>
  </si>
  <si>
    <t>Mr. Rashid V</t>
  </si>
  <si>
    <t>Rashid.v@axiosint.com</t>
  </si>
  <si>
    <t>undoman@mod.gov.om</t>
  </si>
  <si>
    <t>Sultan Alqadi</t>
  </si>
  <si>
    <t>053 004 0089</t>
  </si>
  <si>
    <t>salkadi@matarat.com.sa</t>
  </si>
  <si>
    <t>Ahmed Elmokadem</t>
  </si>
  <si>
    <t>ahmed.mokadem@masco.com.sa</t>
  </si>
  <si>
    <t>Faie Asiri</t>
  </si>
  <si>
    <t>fayea.assiri@masarfinance.com</t>
  </si>
  <si>
    <t xml:space="preserve">Nadeem Bhatkar </t>
  </si>
  <si>
    <t>nadeem.bhatkar@makeen-ksa.com</t>
  </si>
  <si>
    <t>Bader Alotaibi</t>
  </si>
  <si>
    <t>bfotaibi@kkesh.med.sa</t>
  </si>
  <si>
    <t>Ali Alghamdy &amp; Shafiq Ur Rehman</t>
  </si>
  <si>
    <t>Ali - +966 56 727 1438 &amp; Shafiq - +966 59 058 0355</t>
  </si>
  <si>
    <t>ali.alghamdi.1@kaust.edu.sa / shafiq.rehman@kaust.edu.sa</t>
  </si>
  <si>
    <t>helpdesk@kafd.sa</t>
  </si>
  <si>
    <t>Khalid Alfifi</t>
  </si>
  <si>
    <t>Farah Hussain</t>
  </si>
  <si>
    <t>Senior Manager-Order Processing</t>
  </si>
  <si>
    <t>+971529817221</t>
  </si>
  <si>
    <t>farah@amiviz.com</t>
  </si>
  <si>
    <t>Abdullah Kaseem</t>
  </si>
  <si>
    <t>Senior Technology Consultant‑ Pre Sales</t>
  </si>
  <si>
    <t>+20 10 66670461</t>
  </si>
  <si>
    <t>abdullah@amiviz.com</t>
  </si>
  <si>
    <t>Sami Alzahrani</t>
  </si>
  <si>
    <t>0 56 666 5489</t>
  </si>
  <si>
    <t>salzahrani30@jeddah.gov.sa</t>
  </si>
  <si>
    <t>Omar</t>
  </si>
  <si>
    <t>omar.habiballa@ithra.com</t>
  </si>
  <si>
    <t>contact@iu.edu.sa</t>
  </si>
  <si>
    <t>info@gip.gov.sa</t>
  </si>
  <si>
    <t>Mohamed AlGahtani</t>
  </si>
  <si>
    <t> gaca-info@gaca.gov.sa</t>
  </si>
  <si>
    <t>Mazen Alobaidi</t>
  </si>
  <si>
    <t>mazen@gca.gov.sa</t>
  </si>
  <si>
    <t>pdplrequest@gasco.com.sa​ </t>
  </si>
  <si>
    <t>Mohammed Almarhapi</t>
  </si>
  <si>
    <t>info@fsf.gov.sa</t>
  </si>
  <si>
    <t>Mohammed Hanafi</t>
  </si>
  <si>
    <t>moh.hanafy@eamana.gov.sa</t>
  </si>
  <si>
    <t xml:space="preserve">Ramil De Las Alas </t>
  </si>
  <si>
    <t>rdelasalas@epcco.com</t>
  </si>
  <si>
    <t>Muneer Uz Zaman Mohammed</t>
  </si>
  <si>
    <t>+966 53 214 7417</t>
  </si>
  <si>
    <t>MKhaja@diriyah.sa</t>
  </si>
  <si>
    <t>Hossam Olyan</t>
  </si>
  <si>
    <t>holayyan@cigalah.com.sa</t>
  </si>
  <si>
    <t>care@bayancb.com</t>
  </si>
  <si>
    <t>Khaleel Nazeer</t>
  </si>
  <si>
    <t>KNazeer@arabdrill.com</t>
  </si>
  <si>
    <t>Kandesha Kothale</t>
  </si>
  <si>
    <t>Khandesha.Ambaji@americanexpress.com.sa</t>
  </si>
  <si>
    <t>Al Amthal</t>
  </si>
  <si>
    <t>aequreshi@al-amthal.com.sa</t>
  </si>
  <si>
    <t>Yazid Almoaili</t>
  </si>
  <si>
    <t>info@adaa.gov.sa</t>
  </si>
  <si>
    <t>customercare@orange.com</t>
  </si>
  <si>
    <t>info@gtecorp.com</t>
  </si>
  <si>
    <t>info@orange.com</t>
  </si>
  <si>
    <t>Youssef Abuelkhair</t>
  </si>
  <si>
    <t>Youssef.Abuelkhair@nbk.com.eg</t>
  </si>
  <si>
    <t>Eng. Dina A. Khattab</t>
  </si>
  <si>
    <t>Cybersecurity Presales Engineer</t>
  </si>
  <si>
    <t xml:space="preserve">+966 50 2890 474 </t>
  </si>
  <si>
    <t>dina.khattab@cgc-sa.com</t>
  </si>
  <si>
    <t>Bader Zainal</t>
  </si>
  <si>
    <t>bzainal@stc.com.bh</t>
  </si>
  <si>
    <t>Hassan Diab</t>
  </si>
  <si>
    <t>+973 39651771</t>
  </si>
  <si>
    <t>Hassan.Elsayem@btc.com.bh</t>
  </si>
  <si>
    <t>Patricia Abboud </t>
  </si>
  <si>
    <t>p.abboud@ebm.ae</t>
  </si>
  <si>
    <t>Amir Mohammed</t>
  </si>
  <si>
    <t>Project Manager-NWS Division</t>
  </si>
  <si>
    <t>+966556885968</t>
  </si>
  <si>
    <t>amir_mohammed@alfalak.com  </t>
  </si>
  <si>
    <t>Abdellatif Elgohary</t>
  </si>
  <si>
    <t>AP Section Manager</t>
  </si>
  <si>
    <t>+966 11 444 9944</t>
  </si>
  <si>
    <t>a.elgohary@infratech.com.sa</t>
  </si>
  <si>
    <t>Mohammed Hassan Saleh</t>
  </si>
  <si>
    <t>Procurement Manager</t>
  </si>
  <si>
    <t>+966-540298294</t>
  </si>
  <si>
    <t>m.saleh@geer.com.sa</t>
  </si>
  <si>
    <t>Nimish</t>
  </si>
  <si>
    <t>+971 55 254 8025</t>
  </si>
  <si>
    <t>Nimish.Valappil@emircom.com</t>
  </si>
  <si>
    <t>info@simpra.om</t>
  </si>
  <si>
    <t>market@dimensiondata.com</t>
  </si>
  <si>
    <t>contactus@techpace.net</t>
  </si>
  <si>
    <t>Eng. Sameh Alnakhbi</t>
  </si>
  <si>
    <t>CEO - Director</t>
  </si>
  <si>
    <t>+966 556661497</t>
  </si>
  <si>
    <t>sameh@elitehorizon-ict.com</t>
  </si>
  <si>
    <t>Hassan Manzoor Malik</t>
  </si>
  <si>
    <t>Sr. Purchaser</t>
  </si>
  <si>
    <t>+9660126918787</t>
  </si>
  <si>
    <t>hmalik@btc.com.sa</t>
  </si>
  <si>
    <t>Rajesh Chenthamarakshan</t>
  </si>
  <si>
    <t>+974 66005318</t>
  </si>
  <si>
    <t>info@rafaltech.com</t>
  </si>
  <si>
    <t>CEO &amp; General Manager</t>
  </si>
  <si>
    <t>aahmad@evad-me.com</t>
  </si>
  <si>
    <t> +966114579181</t>
  </si>
  <si>
    <t>info@dsshield.com</t>
  </si>
  <si>
    <t>+966593440030</t>
  </si>
  <si>
    <t>Jude Pereira</t>
  </si>
  <si>
    <t>+971 505504827</t>
  </si>
  <si>
    <t>judd@nanjgel.com</t>
  </si>
  <si>
    <t xml:space="preserve">Al Ameen Abdulsalam </t>
  </si>
  <si>
    <t>alameen.abdulsalam@Myclinic.com.sa</t>
  </si>
  <si>
    <t>Yazan Abu Khalil</t>
  </si>
  <si>
    <t>Procurement Supervisor</t>
  </si>
  <si>
    <t>+966 53 120 8461</t>
  </si>
  <si>
    <t>yazan.abukhalil@betait.net</t>
  </si>
  <si>
    <t>Hosam Abbas</t>
  </si>
  <si>
    <t>Training Manager</t>
  </si>
  <si>
    <t>+966138144741 Ext. 222 (+966558833033)</t>
  </si>
  <si>
    <t>habbas@compusoftme.com</t>
  </si>
  <si>
    <t>Sunil Kumar</t>
  </si>
  <si>
    <t>Sunil Kumar &lt;sunil@cyberx.ae&gt;</t>
  </si>
  <si>
    <t>Husam Elbur</t>
  </si>
  <si>
    <t>Procurement Engineer</t>
  </si>
  <si>
    <t>+971585005046</t>
  </si>
  <si>
    <t>husam.elbur@gtsigg.ae</t>
  </si>
  <si>
    <t>Ahmed Khan</t>
  </si>
  <si>
    <t>+96899619065</t>
  </si>
  <si>
    <t>ADVANCE</t>
  </si>
  <si>
    <t>30 OPEN</t>
  </si>
  <si>
    <t>60 OPEN</t>
  </si>
  <si>
    <t>30 PDC</t>
  </si>
  <si>
    <t>45 PDC</t>
  </si>
  <si>
    <t>60 PDC</t>
  </si>
  <si>
    <t>60 LC</t>
  </si>
  <si>
    <t>45 OPEN</t>
  </si>
  <si>
    <t>90 OPEN</t>
  </si>
  <si>
    <t>90 PDC</t>
  </si>
  <si>
    <t>12-Sep-25</t>
  </si>
  <si>
    <t>10/11/2025</t>
  </si>
  <si>
    <t>VAT No. 310779609200003</t>
  </si>
  <si>
    <t>VAT Reg. No: 26634-G</t>
  </si>
  <si>
    <t>311489530100003</t>
  </si>
  <si>
    <t>CR No. 2050162203</t>
  </si>
  <si>
    <t>TRN #: 100218155800003</t>
  </si>
  <si>
    <t>100291556700003</t>
  </si>
  <si>
    <t>VAT No.  312133584700003</t>
  </si>
  <si>
    <t>VAT No.  300231325900003</t>
  </si>
  <si>
    <t>VAT ID: 17909732</t>
  </si>
  <si>
    <t>VAT No. 300054883300003</t>
  </si>
  <si>
    <t>VAT No. 310735344100003</t>
  </si>
  <si>
    <t>VAT No. :310209939800003</t>
  </si>
  <si>
    <t>TRN No: 100273758100003</t>
  </si>
  <si>
    <t>TRN: 104127465300003</t>
  </si>
  <si>
    <t xml:space="preserve"> TRN NO: 100284170600003</t>
  </si>
  <si>
    <t>100441200100003</t>
  </si>
  <si>
    <t>VAT : 311134103900003</t>
  </si>
  <si>
    <t>VAT No. 300710693700003</t>
  </si>
  <si>
    <t>VAT No: 100289092700003</t>
  </si>
  <si>
    <t>TRN: 100316885100003</t>
  </si>
  <si>
    <t>TRN #: 100363490200003</t>
  </si>
  <si>
    <t>TRN : 100363490200003</t>
  </si>
  <si>
    <t>VAT No. 100591988900003</t>
  </si>
  <si>
    <t>TAX No: FR04839045697</t>
  </si>
  <si>
    <t>TRN No: 104843019100003</t>
  </si>
  <si>
    <t>VAT No. 300055863900003</t>
  </si>
  <si>
    <t>VAT No. 311711628200003</t>
  </si>
  <si>
    <t>TRN:
100221267600003</t>
  </si>
  <si>
    <t>TRN: 310699878500003</t>
  </si>
  <si>
    <t>VAT: 312372109200003</t>
  </si>
  <si>
    <t>TRN: 100009466200003</t>
  </si>
  <si>
    <t>TRN: 104538063900003</t>
  </si>
  <si>
    <t>TRN : 100014302200003</t>
  </si>
  <si>
    <t>TRN:100288900200003</t>
  </si>
  <si>
    <t>VAT No.  302020331900003</t>
  </si>
  <si>
    <t>TRN No: 100317458600003</t>
  </si>
  <si>
    <t>VAT No. 200254937400003</t>
  </si>
  <si>
    <t>VATIN : OM1100027140</t>
  </si>
  <si>
    <t>VAT # : 100236640700003</t>
  </si>
  <si>
    <t>TRN: 310948486800003</t>
  </si>
  <si>
    <t>VAT No.  310731918100003</t>
  </si>
  <si>
    <t>TRN No: 100338796400003</t>
  </si>
  <si>
    <t>VAT No. 311368780800003</t>
  </si>
  <si>
    <t>Tax ID: 87-2207715</t>
  </si>
  <si>
    <t>VAT No. 301143571300003</t>
  </si>
  <si>
    <t>VAT No. 311341135600003</t>
  </si>
  <si>
    <t>VAT No.300248675800003</t>
  </si>
  <si>
    <t>TRN: 104752922500003</t>
  </si>
  <si>
    <t>VAT No. 220000871200002</t>
  </si>
  <si>
    <t>VAT Number : BW00000325703-00-05-25</t>
  </si>
  <si>
    <t>VAT No. 310458345600003</t>
  </si>
  <si>
    <t>VAT No. 310755417400003</t>
  </si>
  <si>
    <t>TRN:100375068200003</t>
  </si>
  <si>
    <t>VAT No. 300533211900003</t>
  </si>
  <si>
    <t>TRN: 100273758100003</t>
  </si>
  <si>
    <t>TRN: 100578073700003</t>
  </si>
  <si>
    <t>TRN: 300000776210003</t>
  </si>
  <si>
    <t>VAT No. 100369523400003</t>
  </si>
  <si>
    <t>VAT No:300474179900003</t>
  </si>
  <si>
    <t>TRN:100015147000003</t>
  </si>
  <si>
    <t>VAT No. 300853973100003</t>
  </si>
  <si>
    <t>VAT No. 310185429600003</t>
  </si>
  <si>
    <t>VAT No. 310003035600003</t>
  </si>
  <si>
    <t>VAT No. 301385976900003</t>
  </si>
  <si>
    <t>TRN No. 100284183900003</t>
  </si>
  <si>
    <t>TRN No.100031567900003</t>
  </si>
  <si>
    <t>VAT Reg.  310508408100003</t>
  </si>
  <si>
    <t>310669758800003</t>
  </si>
  <si>
    <t>VAT Reg. 30017596110003</t>
  </si>
  <si>
    <t>VAT  Reg. 311088939900003</t>
  </si>
  <si>
    <t>TRN: 100506814100003</t>
  </si>
  <si>
    <t>VAT Reg. 310545182200003</t>
  </si>
  <si>
    <t>TRN No. 310082322800003</t>
  </si>
  <si>
    <t>VAT Reg. 310245971510003</t>
  </si>
  <si>
    <t>TRN: 100285071500003</t>
  </si>
  <si>
    <t>VAT Reg.  301155866610003</t>
  </si>
  <si>
    <t>VAT Reg: 310940075400003</t>
  </si>
  <si>
    <t>VAT Reg: 301119474200003</t>
  </si>
  <si>
    <t>TRN # : 100231980200003</t>
  </si>
  <si>
    <t>Exposure</t>
  </si>
  <si>
    <t>RY</t>
  </si>
  <si>
    <t>Eyad Hamed</t>
  </si>
  <si>
    <t>Big</t>
  </si>
  <si>
    <t>Small</t>
  </si>
  <si>
    <t>Medium</t>
  </si>
  <si>
    <t>GSI</t>
  </si>
  <si>
    <t>01</t>
  </si>
  <si>
    <t>03</t>
  </si>
  <si>
    <t>04</t>
  </si>
  <si>
    <t>05</t>
  </si>
  <si>
    <t>06</t>
  </si>
  <si>
    <t>07</t>
  </si>
  <si>
    <t>08</t>
  </si>
  <si>
    <t>09</t>
  </si>
  <si>
    <t>11</t>
  </si>
  <si>
    <t>10</t>
  </si>
  <si>
    <t>12</t>
  </si>
  <si>
    <t>13</t>
  </si>
  <si>
    <t>14</t>
  </si>
  <si>
    <t>15</t>
  </si>
  <si>
    <t>16</t>
  </si>
  <si>
    <t>17</t>
  </si>
  <si>
    <t>19</t>
  </si>
  <si>
    <t>23</t>
  </si>
  <si>
    <t>22</t>
  </si>
  <si>
    <t>24</t>
  </si>
  <si>
    <t>25</t>
  </si>
  <si>
    <t>27</t>
  </si>
  <si>
    <t>26</t>
  </si>
  <si>
    <t>29</t>
  </si>
  <si>
    <t>30</t>
  </si>
  <si>
    <t>21</t>
  </si>
  <si>
    <t>28</t>
  </si>
  <si>
    <t>2023</t>
  </si>
  <si>
    <t>2024</t>
  </si>
  <si>
    <t>2025</t>
  </si>
  <si>
    <t>20</t>
  </si>
  <si>
    <t>18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</si>
  <si>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</si>
  <si>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</si>
  <si>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</si>
  <si>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</si>
  <si>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</si>
  <si>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</si>
  <si>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</si>
  <si>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</si>
  <si>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</si>
  <si>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</si>
  <si>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</si>
  <si>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</si>
  <si>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</si>
  <si>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</si>
  <si>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</si>
  <si>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</si>
  <si>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</si>
  <si>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</si>
  <si>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</si>
  <si>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</si>
  <si>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</si>
  <si>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</si>
  <si>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</si>
  <si>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</si>
  <si>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</si>
  <si>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</si>
  <si>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</si>
  <si>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</si>
  <si>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</si>
  <si>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</si>
  <si>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</si>
  <si>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</si>
  <si>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</si>
  <si>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</si>
  <si>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</si>
  <si>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</si>
  <si>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</si>
  <si>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</si>
  <si>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</si>
  <si>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</si>
  <si>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</si>
  <si>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</si>
  <si>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</si>
  <si>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</si>
  <si>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</si>
  <si>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</si>
  <si>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</si>
  <si>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</si>
  <si>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82</t>
  </si>
  <si>
    <t>83</t>
  </si>
  <si>
    <t>84</t>
  </si>
  <si>
    <t>85</t>
  </si>
  <si>
    <t>79</t>
  </si>
  <si>
    <t>80</t>
  </si>
  <si>
    <t>81</t>
  </si>
  <si>
    <t>86</t>
  </si>
  <si>
    <t>87</t>
  </si>
  <si>
    <t>88</t>
  </si>
  <si>
    <t>89</t>
  </si>
  <si>
    <t>90</t>
  </si>
  <si>
    <t>91</t>
  </si>
  <si>
    <t>Partners Payment Terms</t>
  </si>
  <si>
    <t>EfficientIP (EIP)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</si>
</sst>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  <numFmt numFmtId="168" formatCode="_-[$AED-4C09]* #,##0.00_-;\-[$AED-4C09]* #,##0.00_-;_-[$AED-4C09]* &quot;-&quot;??_-;_-@_-"/>
    <numFmt numFmtId="175" formatCode="0.00000000%"/>
    <numFmt numFmtId="182" formatCode="[$-409]d/mmm/yy;@"/>
    <numFmt numFmtId="183" formatCode="[$-10000]d\ mmm\ yyyy;@"/>
    <numFmt numFmtId="184" formatCode="_-[$AED]* #,##0.00_-;\-[$AED]* #,##0.00_-;_-[$AED]* &quot;-&quot;??_-;_-@_-"/>
    <numFmt numFmtId="188" formatCode="[$-409]dd/mmm/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Nekst-Medium"/>
      <family val="3"/>
    </font>
    <font>
      <b/>
      <sz val="14"/>
      <color theme="1"/>
      <name val="Nekst-Medium"/>
      <family val="3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FF3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94">
    <xf numFmtId="0" fontId="0" fillId="0" borderId="0" xfId="0"/>
    <xf numFmtId="0" fontId="5" fillId="0" borderId="0" xfId="4"/>
    <xf numFmtId="0" fontId="0" fillId="0" borderId="0" xfId="0" quotePrefix="1"/>
    <xf numFmtId="0" fontId="6" fillId="0" borderId="0" xfId="0" applyFont="1"/>
    <xf numFmtId="164" fontId="0" fillId="0" borderId="0" xfId="0" applyNumberFormat="1"/>
    <xf numFmtId="0" fontId="3" fillId="0" borderId="0" xfId="0" applyFont="1"/>
    <xf numFmtId="43" fontId="0" fillId="0" borderId="0" xfId="1" applyFont="1"/>
    <xf numFmtId="168" fontId="0" fillId="0" borderId="0" xfId="0" applyNumberFormat="1"/>
    <xf numFmtId="9" fontId="0" fillId="0" borderId="0" xfId="0" applyNumberFormat="1"/>
    <xf numFmtId="9" fontId="0" fillId="0" borderId="0" xfId="3" applyFont="1"/>
    <xf numFmtId="175" fontId="0" fillId="0" borderId="0" xfId="3" applyNumberFormat="1" applyFont="1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0" xfId="0" applyAlignment="1">
      <alignment horizontal="center"/>
    </xf>
    <xf numFmtId="0" fontId="3" fillId="0" borderId="4" xfId="0" applyFont="1" applyBorder="1"/>
    <xf numFmtId="0" fontId="0" fillId="0" borderId="4" xfId="0" applyBorder="1"/>
    <xf numFmtId="0" fontId="0" fillId="0" borderId="0" xfId="0" applyFill="1"/>
    <xf numFmtId="0" fontId="0" fillId="2" borderId="8" xfId="0" applyFill="1" applyBorder="1"/>
    <xf numFmtId="0" fontId="0" fillId="2" borderId="0" xfId="0" applyFill="1" applyBorder="1"/>
    <xf numFmtId="0" fontId="2" fillId="3" borderId="1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4" fillId="3" borderId="13" xfId="0" applyFon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 wrapText="1"/>
    </xf>
    <xf numFmtId="1" fontId="0" fillId="0" borderId="0" xfId="1" applyNumberFormat="1" applyFont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44" fontId="0" fillId="0" borderId="0" xfId="2" applyFont="1"/>
    <xf numFmtId="44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0" fontId="2" fillId="3" borderId="0" xfId="0" applyFont="1" applyFill="1"/>
    <xf numFmtId="0" fontId="3" fillId="0" borderId="17" xfId="0" applyFont="1" applyBorder="1"/>
    <xf numFmtId="0" fontId="3" fillId="0" borderId="17" xfId="0" applyFont="1" applyBorder="1" applyAlignment="1">
      <alignment horizontal="center" vertical="center" wrapText="1"/>
    </xf>
    <xf numFmtId="0" fontId="0" fillId="4" borderId="18" xfId="0" applyFill="1" applyBorder="1" applyAlignment="1" applyProtection="1">
      <alignment vertical="center"/>
      <protection locked="0"/>
    </xf>
    <xf numFmtId="182" fontId="0" fillId="0" borderId="0" xfId="1" applyNumberFormat="1" applyFont="1" applyAlignment="1">
      <alignment horizontal="center"/>
    </xf>
    <xf numFmtId="183" fontId="0" fillId="0" borderId="0" xfId="1" applyNumberFormat="1" applyFont="1" applyAlignment="1">
      <alignment horizontal="center" wrapText="1"/>
    </xf>
    <xf numFmtId="184" fontId="0" fillId="0" borderId="0" xfId="1" applyNumberFormat="1" applyFont="1" applyAlignment="1">
      <alignment horizontal="center" vertical="center" wrapText="1"/>
    </xf>
    <xf numFmtId="168" fontId="0" fillId="0" borderId="0" xfId="1" applyNumberFormat="1" applyFont="1" applyAlignment="1">
      <alignment horizontal="center" wrapText="1"/>
    </xf>
    <xf numFmtId="184" fontId="0" fillId="0" borderId="0" xfId="1" applyNumberFormat="1" applyFont="1" applyAlignment="1">
      <alignment horizontal="center" wrapText="1"/>
    </xf>
    <xf numFmtId="43" fontId="0" fillId="0" borderId="0" xfId="1" applyFont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3" fillId="5" borderId="3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43" fontId="3" fillId="5" borderId="19" xfId="1" applyFont="1" applyFill="1" applyBorder="1" applyAlignment="1">
      <alignment horizontal="center" vertical="center" wrapText="1"/>
    </xf>
    <xf numFmtId="168" fontId="3" fillId="5" borderId="19" xfId="0" applyNumberFormat="1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182" fontId="0" fillId="0" borderId="17" xfId="0" applyNumberFormat="1" applyBorder="1" applyAlignment="1">
      <alignment horizontal="center"/>
    </xf>
    <xf numFmtId="182" fontId="0" fillId="0" borderId="17" xfId="1" applyNumberFormat="1" applyFont="1" applyBorder="1" applyAlignment="1">
      <alignment horizontal="center"/>
    </xf>
    <xf numFmtId="183" fontId="0" fillId="0" borderId="17" xfId="1" applyNumberFormat="1" applyFont="1" applyBorder="1" applyAlignment="1">
      <alignment horizontal="center" wrapText="1"/>
    </xf>
    <xf numFmtId="184" fontId="0" fillId="0" borderId="17" xfId="1" applyNumberFormat="1" applyFont="1" applyBorder="1" applyAlignment="1">
      <alignment horizontal="center" vertical="center" wrapText="1"/>
    </xf>
    <xf numFmtId="49" fontId="0" fillId="0" borderId="17" xfId="1" applyNumberFormat="1" applyFont="1" applyBorder="1" applyAlignment="1">
      <alignment horizontal="center" wrapText="1"/>
    </xf>
    <xf numFmtId="168" fontId="0" fillId="0" borderId="17" xfId="1" applyNumberFormat="1" applyFont="1" applyBorder="1" applyAlignment="1">
      <alignment horizontal="center" wrapText="1"/>
    </xf>
    <xf numFmtId="43" fontId="0" fillId="0" borderId="17" xfId="1" applyFont="1" applyBorder="1" applyAlignment="1">
      <alignment horizontal="center" wrapText="1"/>
    </xf>
    <xf numFmtId="43" fontId="0" fillId="0" borderId="17" xfId="1" applyFont="1" applyBorder="1"/>
    <xf numFmtId="182" fontId="3" fillId="5" borderId="20" xfId="0" applyNumberFormat="1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/>
    </xf>
    <xf numFmtId="0" fontId="8" fillId="0" borderId="0" xfId="0" applyFont="1" applyAlignment="1">
      <alignment vertical="center"/>
    </xf>
    <xf numFmtId="1" fontId="3" fillId="5" borderId="17" xfId="1" applyNumberFormat="1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14" fontId="0" fillId="0" borderId="0" xfId="0" applyNumberFormat="1"/>
    <xf numFmtId="0" fontId="9" fillId="6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0" fillId="0" borderId="0" xfId="1" applyNumberFormat="1" applyFont="1" applyAlignment="1" applyProtection="1">
      <alignment horizontal="center" wrapText="1"/>
      <protection locked="0"/>
    </xf>
    <xf numFmtId="0" fontId="3" fillId="7" borderId="2" xfId="0" applyFont="1" applyFill="1" applyBorder="1" applyAlignment="1">
      <alignment horizontal="center" vertical="center" wrapText="1"/>
    </xf>
    <xf numFmtId="182" fontId="3" fillId="7" borderId="2" xfId="0" applyNumberFormat="1" applyFont="1" applyFill="1" applyBorder="1" applyAlignment="1">
      <alignment vertical="center" wrapText="1"/>
    </xf>
    <xf numFmtId="43" fontId="3" fillId="7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182" fontId="0" fillId="0" borderId="0" xfId="0" applyNumberFormat="1" applyAlignment="1">
      <alignment horizontal="left"/>
    </xf>
    <xf numFmtId="43" fontId="0" fillId="0" borderId="0" xfId="1" applyFont="1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left" vertical="center" wrapText="1"/>
    </xf>
    <xf numFmtId="182" fontId="0" fillId="0" borderId="0" xfId="0" applyNumberFormat="1" applyAlignment="1">
      <alignment horizontal="left" vertical="center" wrapText="1"/>
    </xf>
    <xf numFmtId="43" fontId="0" fillId="0" borderId="0" xfId="1" applyFont="1" applyAlignment="1">
      <alignment horizontal="left" vertical="center" wrapText="1"/>
    </xf>
    <xf numFmtId="14" fontId="0" fillId="0" borderId="0" xfId="0" applyNumberFormat="1" applyAlignment="1" applyProtection="1">
      <alignment horizontal="center"/>
      <protection locked="0"/>
    </xf>
    <xf numFmtId="164" fontId="3" fillId="7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88" fontId="3" fillId="0" borderId="0" xfId="0" applyNumberFormat="1" applyFont="1"/>
    <xf numFmtId="188" fontId="0" fillId="0" borderId="0" xfId="0" applyNumberFormat="1"/>
    <xf numFmtId="164" fontId="3" fillId="0" borderId="0" xfId="0" applyNumberFormat="1" applyFont="1"/>
    <xf numFmtId="0" fontId="0" fillId="0" borderId="0" xfId="0" applyNumberFormat="1" applyAlignment="1">
      <alignment horizontal="center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60">
    <dxf>
      <numFmt numFmtId="0" formatCode="General"/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  <fill>
        <patternFill>
          <bgColor theme="1"/>
        </patternFill>
      </fill>
    </dxf>
    <dxf>
      <numFmt numFmtId="185" formatCode=";;;"/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C00000"/>
      </font>
      <fill>
        <patternFill>
          <bgColor rgb="FFFEC0BA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_([$$-409]* #,##0.00_);_([$$-409]* \(#,##0.00\);_([$$-409]* &quot;-&quot;??_);_(@_)"/>
    </dxf>
    <dxf>
      <numFmt numFmtId="188" formatCode="[$-409]dd/mmm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11205</xdr:colOff>
      <xdr:row>1</xdr:row>
      <xdr:rowOff>12829</xdr:rowOff>
    </xdr:from>
    <xdr:to>
      <xdr:col>2</xdr:col>
      <xdr:colOff>12806</xdr:colOff>
      <xdr:row>1</xdr:row>
      <xdr:rowOff>272145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4570C17-36F0-4F9F-831A-E1AC265EEC25}"/>
            </a:ext>
          </a:extLst>
        </xdr:cNvPr>
        <xdr:cNvSpPr txBox="1"/>
      </xdr:nvSpPr>
      <xdr:spPr>
        <a:xfrm>
          <a:off x="1078005" y="197886"/>
          <a:ext cx="1068401" cy="259316"/>
        </a:xfrm>
        <a:prstGeom prst="rect">
          <a:avLst/>
        </a:prstGeom>
        <a:solidFill>
          <a:schemeClr val="tx2"/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E" sz="1100" b="1" kern="1200">
              <a:solidFill>
                <a:schemeClr val="bg1"/>
              </a:solidFill>
              <a:latin typeface="Nekst-Medium" panose="01000000000000000000" pitchFamily="50" charset="0"/>
            </a:rPr>
            <a:t>SEARCH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1701</xdr:colOff>
      <xdr:row>0</xdr:row>
      <xdr:rowOff>179615</xdr:rowOff>
    </xdr:from>
    <xdr:to>
      <xdr:col>2</xdr:col>
      <xdr:colOff>681</xdr:colOff>
      <xdr:row>2</xdr:row>
      <xdr:rowOff>2043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CD65B5-2614-4D16-A927-BFE7DAE075D1}"/>
            </a:ext>
          </a:extLst>
        </xdr:cNvPr>
        <xdr:cNvSpPr txBox="1"/>
      </xdr:nvSpPr>
      <xdr:spPr>
        <a:xfrm>
          <a:off x="132330" y="179615"/>
          <a:ext cx="1593737" cy="241528"/>
        </a:xfrm>
        <a:prstGeom prst="rect">
          <a:avLst/>
        </a:prstGeom>
        <a:solidFill>
          <a:schemeClr val="tx2"/>
        </a:solidFill>
        <a:ln w="9525" cmpd="sng"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E" sz="1100" b="1" kern="1200">
              <a:solidFill>
                <a:schemeClr val="bg1"/>
              </a:solidFill>
              <a:latin typeface="Nekst-Medium" panose="01000000000000000000" pitchFamily="50" charset="0"/>
            </a:rPr>
            <a:t>SEARCH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35FF52-2BD2-48D6-AA43-B358466390FD}" name="Table1" displayName="Table1" ref="A1:F7" totalsRowCount="1">
  <autoFilter ref="A1:F6" xr:uid="{AF35FF52-2BD2-48D6-AA43-B358466390FD}"/>
  <tableColumns count="6">
    <tableColumn id="1" xr3:uid="{4B8F0C75-7792-4CE0-87BA-BEB9F67998FC}" name="ApproverName" dataDxfId="59" totalsRowDxfId="57"/>
    <tableColumn id="2" xr3:uid="{2486FB87-5200-4C99-8072-321C706C4FE5}" name="Role" dataDxfId="58" totalsRowDxfId="56"/>
    <tableColumn id="9" xr3:uid="{40717A96-9E75-4796-93EC-9122F5AE7552}" name="Project % of Target"/>
    <tableColumn id="3" xr3:uid="{00FE86F0-B530-4131-949C-A7CF263457C0}" name="MinMargin"/>
    <tableColumn id="4" xr3:uid="{1DEF58C8-AF8A-4B62-9CF2-F41AA68DE80E}" name="MaxMargin"/>
    <tableColumn id="7" xr3:uid="{AFEE56E9-3F06-4AAA-BC09-B35976214C9B}" name="ROI 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A49C84D-BDFF-49DF-9848-A56755B79C9C}" name="Table46" displayName="Table46" ref="A1:Y623" totalsRowShown="0" headerRowDxfId="55">
  <autoFilter ref="A1:Y623" xr:uid="{51510163-757D-46AC-9419-4B6BEA60796D}"/>
  <tableColumns count="25">
    <tableColumn id="1" xr3:uid="{05A6C530-1F17-4083-B431-A64FEEA029E6}" name="Entry Date"/>
    <tableColumn id="2" xr3:uid="{9B633AF8-1A4C-4EFC-BF0F-779EAFCD9A96}" name="User ID"/>
    <tableColumn id="3" xr3:uid="{974EE4E8-DB56-4CEF-98A9-8DFAAB433625}" name="Category"/>
    <tableColumn id="4" xr3:uid="{C0719514-EEC6-4421-87A0-E8927E85D505}" name="Company Full Name"/>
    <tableColumn id="5" xr3:uid="{AEA3870C-A6A4-471B-8C54-8220EED3B5F6}" name="Address 1"/>
    <tableColumn id="6" xr3:uid="{21B6A03C-4D0E-4B88-93AA-D2421149BA48}" name="Address 2"/>
    <tableColumn id="7" xr3:uid="{B3AC3A3F-38E0-442C-8F67-6DE25BC6F239}" name="City"/>
    <tableColumn id="8" xr3:uid="{8DA4D19C-8E57-4434-BF6D-8C7F7FD59375}" name="Country"/>
    <tableColumn id="9" xr3:uid="{4E2E3524-45B6-47F3-93D7-01F011F65AB4}" name="Website"/>
    <tableColumn id="10" xr3:uid="{469E9FD7-485A-4CEB-A876-93E023020C99}" name="Company Tel #"/>
    <tableColumn id="11" xr3:uid="{4643A204-6E1E-4B74-8306-4D0506362337}" name="Main Contact Person"/>
    <tableColumn id="12" xr3:uid="{028C009A-C74B-4D60-B0A5-BAADA8F2C9F6}" name="Main Contact Designation"/>
    <tableColumn id="13" xr3:uid="{CC0D3607-858C-4E10-8569-B8A71D6303EA}" name="Main Contact #"/>
    <tableColumn id="14" xr3:uid="{6918FF4A-9E62-4ACC-871E-60AAB4646672}" name="Main Contact Email Address"/>
    <tableColumn id="15" xr3:uid="{F0330C81-0DED-4441-9653-681E353EAC06}" name="Accounting Contact Person"/>
    <tableColumn id="16" xr3:uid="{6F05FF74-864C-4B24-A9C7-57508CAEC4BC}" name="Accounting Contact Designation"/>
    <tableColumn id="17" xr3:uid="{53C6448F-ABDB-4E27-A320-E385FCD402D0}" name="Accounting Contact #"/>
    <tableColumn id="18" xr3:uid="{51728F4D-F603-4360-B7D3-9788FF27D57E}" name="Accounting Contact Email Address"/>
    <tableColumn id="19" xr3:uid="{FCD55E7B-EF51-4334-B0CC-1FC20ADC639B}" name="Payment Terms"/>
    <tableColumn id="20" xr3:uid="{9995140B-3F6F-473B-8D71-989A102679DD}" name="TL/CR #"/>
    <tableColumn id="21" xr3:uid="{00707000-A8D2-477E-9B78-B07046256AAF}" name="TL/CR Expiry Date" dataDxfId="12"/>
    <tableColumn id="22" xr3:uid="{C049D0E9-2BE1-4A3B-8276-12C49D9F32A6}" name="VAT #"/>
    <tableColumn id="24" xr3:uid="{989AB6B5-9271-4CED-B0B8-3A2663C7B9C3}" name="Partner Size"/>
    <tableColumn id="25" xr3:uid="{0CD8FF03-5538-49BD-99B4-3370FBEB3816}" name="Exposure" dataDxfId="11"/>
    <tableColumn id="23" xr3:uid="{6BF1533F-0075-48A8-BFE7-D2BA314C0D41}" name="Relationship Manager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47A7E0-4C91-49BD-8C90-DE2C4DD91761}" name="Table6" displayName="Table6" ref="A1:AU230" totalsRowShown="0" headerRowDxfId="13" dataDxfId="14">
  <autoFilter ref="A1:AU230" xr:uid="{ED47A7E0-4C91-49BD-8C90-DE2C4DD91761}"/>
  <tableColumns count="47">
    <tableColumn id="1" xr3:uid="{3A175277-3B98-4F8F-8054-6AC7EF042DB4}" name="Project Folder Ref." dataDxfId="0">
      <calculatedColumnFormula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calculatedColumnFormula>
    </tableColumn>
    <tableColumn id="2" xr3:uid="{FDDDE846-F6B3-4C08-9DBF-9B09533DD79A}" name="Status" dataDxfId="9"/>
    <tableColumn id="3" xr3:uid="{17CD55EF-3C73-401F-AE34-C214F2AE96CF}" name="Project Year" dataDxfId="54"/>
    <tableColumn id="4" xr3:uid="{C77CABE3-F09E-4040-AFD0-F7150486E5C6}" name="Project #" dataDxfId="10"/>
    <tableColumn id="5" xr3:uid="{46360AA6-380A-4488-9780-AD2FAE78AC0F}" name="Project Type" dataDxfId="53"/>
    <tableColumn id="6" xr3:uid="{073C3041-9363-409F-97B2-A5BE786902BE}" name="Project Name_x000a_(End-User)" dataDxfId="52"/>
    <tableColumn id="7" xr3:uid="{D2BFDA36-F7A2-416B-87F5-2F74D66FF078}" name="Channel Partner" dataDxfId="51"/>
    <tableColumn id="8" xr3:uid="{1CFBED23-F3F2-4274-ADBF-4E24A07ECC5D}" name="Product" dataDxfId="50"/>
    <tableColumn id="9" xr3:uid="{1D144115-955E-4A49-B32C-1EFD191D1D1E}" name="Country" dataDxfId="49"/>
    <tableColumn id="10" xr3:uid="{F58F13FD-7966-4284-A7F8-4D425B8D0480}" name="EVAD Entity" dataDxfId="48"/>
    <tableColumn id="11" xr3:uid="{615A245E-110B-4681-825E-E76C0D8691A4}" name="EVAD Account Manager" dataDxfId="47"/>
    <tableColumn id="12" xr3:uid="{ABC48D63-0BD2-45F0-847A-F7F987691CFE}" name="Customer PO Date" dataDxfId="46"/>
    <tableColumn id="13" xr3:uid="{CBB4FEDA-1061-432C-8D3B-0FF789598723}" name="Customer PO #" dataDxfId="45"/>
    <tableColumn id="14" xr3:uid="{28F99B4A-99A9-4F54-9BCE-34DDCFF64AC8}" name="Customer PO Currency" dataDxfId="44"/>
    <tableColumn id="15" xr3:uid="{9375EDB2-4BA8-4B79-BC43-9385AD008847}" name="Customer PO Value" dataDxfId="43"/>
    <tableColumn id="16" xr3:uid="{3EE0C70E-5FAA-4FFC-8CAF-F47178112726}" name="EVAD Invoice QTY" dataDxfId="42"/>
    <tableColumn id="17" xr3:uid="{AE9B16F7-7575-4DD2-BE81-E6F73E3E6D67}" name="EVAD Invoice #" dataDxfId="41"/>
    <tableColumn id="18" xr3:uid="{2C26EC50-2956-4FB0-92B1-F0049D8A5639}" name="EVAD Invoice Year" dataDxfId="40"/>
    <tableColumn id="19" xr3:uid="{1B0D9F08-C318-4092-A5C8-1826F8D35194}" name="EVAD Invoice Date" dataDxfId="39"/>
    <tableColumn id="20" xr3:uid="{6ED094CD-669B-4271-929B-17CCF525522C}" name="EVAD Invoice_x000a_(Due Date)"/>
    <tableColumn id="21" xr3:uid="{7A844C98-70BD-486C-9413-0F9F24E359AB}" name="EVAD Invoice_x000a_(Original Currency)" dataDxfId="38"/>
    <tableColumn id="22" xr3:uid="{AE7B3BC4-2FFC-46C3-87AE-3C264ADDE675}" name="EVAD Invoice Amount_x000a_(Original Currency)" dataDxfId="37"/>
    <tableColumn id="23" xr3:uid="{519391A4-6E2B-411A-84DD-3228FDD31049}" name="EVAD Invoice Amount_x000a_(AED)" dataDxfId="36"/>
    <tableColumn id="24" xr3:uid="{2384FF74-7845-4973-AEF7-2869DF35C525}" name="Customer Payment_x000a_Received?"/>
    <tableColumn id="25" xr3:uid="{6FD0BDF6-2E57-4335-9B0D-409D2D6B932B}" name="EVAD Invoice Due Counter" dataDxfId="35" dataCellStyle="Comma"/>
    <tableColumn id="26" xr3:uid="{65843F10-5343-445E-BB7E-29B89C066118}" name="EVAD Received Amount_x000a_(Original Currency)" dataDxfId="34"/>
    <tableColumn id="27" xr3:uid="{9B65256E-1E11-4CB5-AD82-E4B342BB57A2}" name="EVAD Invoice Outstanding Balance (Original Currency)" dataDxfId="33"/>
    <tableColumn id="28" xr3:uid="{F26D6704-27A4-4B57-9C4A-4CF9EB97FC72}" name="EVAD Payment Received Date" dataDxfId="32"/>
    <tableColumn id="29" xr3:uid="{AD8A4C22-B3DF-4E9D-AC27-CE35910243AD}" name="EVAD PO #_x000a_(to Vendor)" dataDxfId="31"/>
    <tableColumn id="30" xr3:uid="{82F199C0-F2E2-403D-B2D1-E3E7BD5805E1}" name="EVAD PO Date" dataDxfId="30"/>
    <tableColumn id="31" xr3:uid="{A4AD50DB-44F5-4AB2-83F4-13D177A4D330}" name="EVAD PO Value_x000a_(USD)"/>
    <tableColumn id="32" xr3:uid="{A9AE0DA7-09C9-4C13-97AF-335986BB26DE}" name="EVAD PO Value_x000a_(AED)" dataDxfId="29"/>
    <tableColumn id="33" xr3:uid="{4D990B46-5209-4AC9-B4C8-E505E945C10A}" name="EVAD PO_x000a_Payment Terms" dataDxfId="28"/>
    <tableColumn id="34" xr3:uid="{F2DDFCC3-A74F-4426-8AE0-A2E17E40249A}" name="Vendor Invoice #" dataDxfId="27"/>
    <tableColumn id="35" xr3:uid="{19C529E4-7E85-4FE4-87BA-9EF1ED89E452}" name="Vendor Invoice Date" dataDxfId="26"/>
    <tableColumn id="36" xr3:uid="{DC39849B-BC0E-4B9D-961B-C40481559A6A}" name="EVAD Payment_x000a_Due Date" dataDxfId="25"/>
    <tableColumn id="37" xr3:uid="{DDE1699D-9D02-46D7-8FA1-EF8F85DC545B}" name="Vendor Invoice Value (USD)" dataDxfId="24"/>
    <tableColumn id="38" xr3:uid="{92F0DB25-6EF0-4C37-AEB1-EF1597A93A7C}" name="EVAD Payment"/>
    <tableColumn id="39" xr3:uid="{88783615-A2AC-4BC9-88D0-18801DDBFFE6}" name="EVAD Assigned SE" dataDxfId="23"/>
    <tableColumn id="40" xr3:uid="{BBB9E729-BC20-4BEB-9509-329EE2536FAD}" name="Any Previous Related Contract #" dataDxfId="22"/>
    <tableColumn id="41" xr3:uid="{3BCE2DFB-B1F4-4C9C-8988-9B440192B1C3}" name="New Contract #" dataDxfId="21"/>
    <tableColumn id="42" xr3:uid="{63A597CC-F020-4BE9-9017-79C20680EF1C}" name="Contract Start Date" dataDxfId="20"/>
    <tableColumn id="43" xr3:uid="{1DCB332A-5492-4744-9466-AF45494BC018}" name="Contract Expiry Date" dataDxfId="19"/>
    <tableColumn id="44" xr3:uid="{BBA412FF-C0E8-49E3-81A8-D8048D7E1970}" name="EVAD PS Value (Original Currency)" dataDxfId="18"/>
    <tableColumn id="45" xr3:uid="{7EF6C769-49DF-412C-A612-23172B0C36EF}" name="EVAD PS Value (AED)" dataDxfId="17"/>
    <tableColumn id="46" xr3:uid="{3A215918-DCEB-4AC8-B9C0-E778AE891081}" name="EVAD Invoice Billing Code" dataDxfId="16"/>
    <tableColumn id="47" xr3:uid="{98EEAFB2-0DD8-43F3-9BCF-3E7CA8BEFF65}" name="Vendor Billing Code" dataDxfId="15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M00@#@" TargetMode="External"/><Relationship Id="rId1" Type="http://schemas.openxmlformats.org/officeDocument/2006/relationships/hyperlink" Target="mailto:MB02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367E9-FC78-4F71-83E6-8EABBB3BF6F6}">
  <sheetPr codeName="Sheet1">
    <tabColor theme="5" tint="0.39997558519241921"/>
  </sheetPr>
  <dimension ref="A1:AA27"/>
  <sheetViews>
    <sheetView topLeftCell="O1" workbookViewId="0">
      <selection activeCell="T31" sqref="T31"/>
    </sheetView>
  </sheetViews>
  <sheetFormatPr defaultRowHeight="14.6" x14ac:dyDescent="0.4"/>
  <cols>
    <col min="1" max="1" width="13.3828125" bestFit="1" customWidth="1"/>
    <col min="2" max="2" width="11.69140625" bestFit="1" customWidth="1"/>
    <col min="3" max="3" width="18.15234375" bestFit="1" customWidth="1"/>
    <col min="4" max="4" width="16.61328125" bestFit="1" customWidth="1"/>
    <col min="5" max="6" width="8.765625" bestFit="1" customWidth="1"/>
    <col min="7" max="7" width="25.53515625" bestFit="1" customWidth="1"/>
    <col min="8" max="8" width="17.23046875" bestFit="1" customWidth="1"/>
    <col min="9" max="9" width="9.61328125" bestFit="1" customWidth="1"/>
    <col min="10" max="10" width="16" customWidth="1"/>
    <col min="11" max="11" width="17.69140625" bestFit="1" customWidth="1"/>
    <col min="12" max="12" width="4.84375" bestFit="1" customWidth="1"/>
    <col min="13" max="13" width="13" bestFit="1" customWidth="1"/>
    <col min="14" max="14" width="22.765625" bestFit="1" customWidth="1"/>
    <col min="15" max="15" width="26.84375" bestFit="1" customWidth="1"/>
    <col min="16" max="16" width="18.07421875" bestFit="1" customWidth="1"/>
    <col min="17" max="18" width="11.3828125" customWidth="1"/>
    <col min="20" max="20" width="16.07421875" bestFit="1" customWidth="1"/>
    <col min="23" max="23" width="13" bestFit="1" customWidth="1"/>
    <col min="24" max="24" width="19.15234375" customWidth="1"/>
    <col min="25" max="25" width="44.69140625" bestFit="1" customWidth="1"/>
    <col min="26" max="26" width="19.23046875" customWidth="1"/>
  </cols>
  <sheetData>
    <row r="1" spans="1:27" x14ac:dyDescent="0.4">
      <c r="A1" s="5" t="s">
        <v>24</v>
      </c>
      <c r="B1" s="5" t="s">
        <v>25</v>
      </c>
      <c r="C1" s="5" t="s">
        <v>73</v>
      </c>
      <c r="D1" s="5" t="s">
        <v>0</v>
      </c>
      <c r="E1" s="5" t="s">
        <v>12</v>
      </c>
      <c r="F1" s="5" t="s">
        <v>34</v>
      </c>
      <c r="G1" s="5" t="s">
        <v>74</v>
      </c>
      <c r="H1" s="5" t="s">
        <v>129</v>
      </c>
      <c r="I1" s="5" t="s">
        <v>125</v>
      </c>
      <c r="J1" s="5" t="s">
        <v>183</v>
      </c>
      <c r="K1" s="5" t="s">
        <v>153</v>
      </c>
      <c r="L1" s="5" t="s">
        <v>126</v>
      </c>
      <c r="M1" s="5" t="s">
        <v>204</v>
      </c>
      <c r="N1" s="5" t="s">
        <v>205</v>
      </c>
      <c r="O1" s="5" t="s">
        <v>206</v>
      </c>
      <c r="P1" s="5" t="s">
        <v>174</v>
      </c>
      <c r="Q1" s="33" t="s">
        <v>226</v>
      </c>
      <c r="R1" s="33"/>
      <c r="S1" s="37" t="s">
        <v>228</v>
      </c>
      <c r="T1" s="37"/>
      <c r="U1" s="36" t="s">
        <v>160</v>
      </c>
      <c r="V1" s="36" t="s">
        <v>241</v>
      </c>
      <c r="W1" s="36" t="s">
        <v>249</v>
      </c>
      <c r="X1" s="36" t="s">
        <v>269</v>
      </c>
      <c r="Y1" s="5" t="s">
        <v>297</v>
      </c>
      <c r="Z1" s="5" t="s">
        <v>307</v>
      </c>
      <c r="AA1" s="5" t="s">
        <v>2694</v>
      </c>
    </row>
    <row r="2" spans="1:27" x14ac:dyDescent="0.4">
      <c r="A2" t="s">
        <v>23</v>
      </c>
      <c r="B2" s="1" t="s">
        <v>33</v>
      </c>
      <c r="C2" t="s">
        <v>80</v>
      </c>
      <c r="D2" t="s">
        <v>3</v>
      </c>
      <c r="E2" t="s">
        <v>49</v>
      </c>
      <c r="F2" t="s">
        <v>35</v>
      </c>
      <c r="G2" t="s">
        <v>108</v>
      </c>
      <c r="H2" t="s">
        <v>130</v>
      </c>
      <c r="I2" t="s">
        <v>157</v>
      </c>
      <c r="J2" t="s">
        <v>23</v>
      </c>
      <c r="K2" t="s">
        <v>164</v>
      </c>
      <c r="L2">
        <v>2020</v>
      </c>
      <c r="M2" t="s">
        <v>197</v>
      </c>
      <c r="N2" t="s">
        <v>196</v>
      </c>
      <c r="O2" t="s">
        <v>203</v>
      </c>
      <c r="P2" t="s">
        <v>210</v>
      </c>
      <c r="Q2" t="s">
        <v>2695</v>
      </c>
      <c r="R2">
        <v>120</v>
      </c>
      <c r="S2" t="s">
        <v>229</v>
      </c>
      <c r="T2">
        <v>3.6724999999999999</v>
      </c>
      <c r="U2" t="s">
        <v>76</v>
      </c>
      <c r="V2" t="s">
        <v>242</v>
      </c>
      <c r="W2" t="s">
        <v>29</v>
      </c>
      <c r="Y2" t="s">
        <v>298</v>
      </c>
      <c r="Z2" s="8">
        <v>0.1</v>
      </c>
    </row>
    <row r="3" spans="1:27" x14ac:dyDescent="0.4">
      <c r="A3" t="s">
        <v>27</v>
      </c>
      <c r="B3" t="s">
        <v>78</v>
      </c>
      <c r="C3" s="2" t="s">
        <v>75</v>
      </c>
      <c r="D3" t="s">
        <v>4</v>
      </c>
      <c r="E3" t="s">
        <v>50</v>
      </c>
      <c r="F3" t="s">
        <v>36</v>
      </c>
      <c r="G3" t="s">
        <v>109</v>
      </c>
      <c r="H3" t="s">
        <v>131</v>
      </c>
      <c r="I3" t="s">
        <v>158</v>
      </c>
      <c r="J3" t="s">
        <v>27</v>
      </c>
      <c r="K3" t="s">
        <v>165</v>
      </c>
      <c r="L3">
        <v>2021</v>
      </c>
      <c r="M3" t="s">
        <v>198</v>
      </c>
      <c r="N3" t="s">
        <v>199</v>
      </c>
      <c r="O3" t="s">
        <v>207</v>
      </c>
      <c r="P3" t="s">
        <v>211</v>
      </c>
      <c r="Q3" t="s">
        <v>131</v>
      </c>
      <c r="R3">
        <v>90</v>
      </c>
      <c r="S3" t="s">
        <v>230</v>
      </c>
      <c r="T3">
        <v>3.75</v>
      </c>
      <c r="U3" t="s">
        <v>97</v>
      </c>
      <c r="V3" t="s">
        <v>243</v>
      </c>
      <c r="W3" t="s">
        <v>100</v>
      </c>
      <c r="Y3" t="s">
        <v>299</v>
      </c>
      <c r="Z3" s="8">
        <v>0.2</v>
      </c>
    </row>
    <row r="4" spans="1:27" x14ac:dyDescent="0.4">
      <c r="A4" t="s">
        <v>26</v>
      </c>
      <c r="B4" s="1" t="s">
        <v>28</v>
      </c>
      <c r="C4" s="2" t="s">
        <v>82</v>
      </c>
      <c r="D4" t="s">
        <v>6</v>
      </c>
      <c r="E4" t="s">
        <v>51</v>
      </c>
      <c r="F4" t="s">
        <v>37</v>
      </c>
      <c r="G4" t="s">
        <v>110</v>
      </c>
      <c r="H4" t="s">
        <v>132</v>
      </c>
      <c r="I4" t="s">
        <v>159</v>
      </c>
      <c r="J4" t="s">
        <v>26</v>
      </c>
      <c r="L4">
        <v>2022</v>
      </c>
      <c r="M4" t="s">
        <v>200</v>
      </c>
      <c r="N4" t="s">
        <v>201</v>
      </c>
      <c r="P4" t="s">
        <v>212</v>
      </c>
      <c r="Q4" t="s">
        <v>132</v>
      </c>
      <c r="R4">
        <v>45</v>
      </c>
      <c r="S4" t="s">
        <v>231</v>
      </c>
      <c r="T4" t="s">
        <v>232</v>
      </c>
      <c r="U4" t="s">
        <v>233</v>
      </c>
      <c r="V4" t="s">
        <v>244</v>
      </c>
      <c r="W4" t="s">
        <v>250</v>
      </c>
      <c r="Y4" t="s">
        <v>300</v>
      </c>
      <c r="Z4" s="8">
        <v>0.3</v>
      </c>
    </row>
    <row r="5" spans="1:27" x14ac:dyDescent="0.4">
      <c r="A5" t="s">
        <v>29</v>
      </c>
      <c r="B5" t="s">
        <v>30</v>
      </c>
      <c r="C5" t="s">
        <v>171</v>
      </c>
      <c r="D5" t="s">
        <v>7</v>
      </c>
      <c r="E5" t="s">
        <v>52</v>
      </c>
      <c r="F5" t="s">
        <v>38</v>
      </c>
      <c r="G5" t="s">
        <v>112</v>
      </c>
      <c r="H5" t="s">
        <v>133</v>
      </c>
      <c r="J5" t="s">
        <v>29</v>
      </c>
      <c r="L5">
        <v>2023</v>
      </c>
      <c r="N5" t="s">
        <v>202</v>
      </c>
      <c r="Q5" t="s">
        <v>133</v>
      </c>
      <c r="R5">
        <v>45</v>
      </c>
      <c r="U5" t="s">
        <v>234</v>
      </c>
      <c r="V5" t="s">
        <v>245</v>
      </c>
      <c r="W5" t="s">
        <v>251</v>
      </c>
      <c r="Y5" t="s">
        <v>301</v>
      </c>
      <c r="Z5" s="8">
        <v>0.4</v>
      </c>
    </row>
    <row r="6" spans="1:27" x14ac:dyDescent="0.4">
      <c r="A6" t="s">
        <v>31</v>
      </c>
      <c r="B6" t="s">
        <v>32</v>
      </c>
      <c r="C6" s="2" t="s">
        <v>79</v>
      </c>
      <c r="E6" t="s">
        <v>53</v>
      </c>
      <c r="F6" t="s">
        <v>39</v>
      </c>
      <c r="H6" t="s">
        <v>134</v>
      </c>
      <c r="J6" t="s">
        <v>31</v>
      </c>
      <c r="L6">
        <v>2024</v>
      </c>
      <c r="N6" t="s">
        <v>208</v>
      </c>
      <c r="Q6" t="s">
        <v>134</v>
      </c>
      <c r="R6">
        <v>60</v>
      </c>
      <c r="U6" t="s">
        <v>235</v>
      </c>
      <c r="V6" t="s">
        <v>246</v>
      </c>
      <c r="W6" t="s">
        <v>252</v>
      </c>
      <c r="Y6" t="s">
        <v>302</v>
      </c>
      <c r="Z6" s="8">
        <v>0.5</v>
      </c>
    </row>
    <row r="7" spans="1:27" x14ac:dyDescent="0.4">
      <c r="A7" t="s">
        <v>76</v>
      </c>
      <c r="B7" t="s">
        <v>77</v>
      </c>
      <c r="C7" t="s">
        <v>172</v>
      </c>
      <c r="E7" t="s">
        <v>54</v>
      </c>
      <c r="F7" t="s">
        <v>40</v>
      </c>
      <c r="G7" s="5" t="s">
        <v>274</v>
      </c>
      <c r="H7" t="s">
        <v>135</v>
      </c>
      <c r="J7" t="s">
        <v>76</v>
      </c>
      <c r="L7">
        <v>2025</v>
      </c>
      <c r="Q7" t="s">
        <v>135</v>
      </c>
      <c r="U7" t="s">
        <v>236</v>
      </c>
      <c r="V7" t="s">
        <v>247</v>
      </c>
      <c r="W7" t="s">
        <v>253</v>
      </c>
      <c r="Y7" t="s">
        <v>303</v>
      </c>
      <c r="Z7" s="8">
        <v>0.6</v>
      </c>
    </row>
    <row r="8" spans="1:27" x14ac:dyDescent="0.4">
      <c r="A8" t="s">
        <v>84</v>
      </c>
      <c r="B8" t="s">
        <v>85</v>
      </c>
      <c r="C8" t="s">
        <v>86</v>
      </c>
      <c r="E8" t="s">
        <v>55</v>
      </c>
      <c r="F8" t="s">
        <v>41</v>
      </c>
      <c r="H8" t="s">
        <v>136</v>
      </c>
      <c r="L8">
        <v>2026</v>
      </c>
      <c r="Q8" t="s">
        <v>136</v>
      </c>
      <c r="U8" t="s">
        <v>237</v>
      </c>
      <c r="W8" t="s">
        <v>254</v>
      </c>
      <c r="Y8" t="s">
        <v>304</v>
      </c>
      <c r="Z8" s="8">
        <v>0.7</v>
      </c>
    </row>
    <row r="9" spans="1:27" x14ac:dyDescent="0.4">
      <c r="E9" t="s">
        <v>56</v>
      </c>
      <c r="F9" t="s">
        <v>42</v>
      </c>
      <c r="G9" s="5" t="s">
        <v>275</v>
      </c>
      <c r="H9" t="s">
        <v>137</v>
      </c>
      <c r="L9">
        <v>2027</v>
      </c>
      <c r="Q9" t="s">
        <v>137</v>
      </c>
      <c r="U9" t="s">
        <v>238</v>
      </c>
      <c r="W9" t="s">
        <v>255</v>
      </c>
      <c r="Y9" t="s">
        <v>305</v>
      </c>
      <c r="Z9" s="8">
        <v>0.8</v>
      </c>
    </row>
    <row r="10" spans="1:27" x14ac:dyDescent="0.4">
      <c r="E10" t="s">
        <v>57</v>
      </c>
      <c r="F10" t="s">
        <v>43</v>
      </c>
      <c r="H10" t="s">
        <v>138</v>
      </c>
      <c r="L10">
        <v>2028</v>
      </c>
      <c r="Q10" t="s">
        <v>138</v>
      </c>
      <c r="U10" t="s">
        <v>239</v>
      </c>
      <c r="Y10" t="s">
        <v>306</v>
      </c>
      <c r="Z10" s="8">
        <v>0.9</v>
      </c>
    </row>
    <row r="11" spans="1:27" x14ac:dyDescent="0.4">
      <c r="E11" t="s">
        <v>58</v>
      </c>
      <c r="F11" t="s">
        <v>44</v>
      </c>
      <c r="G11" s="5" t="s">
        <v>276</v>
      </c>
      <c r="H11" t="s">
        <v>139</v>
      </c>
      <c r="L11">
        <v>2029</v>
      </c>
      <c r="Q11" t="s">
        <v>139</v>
      </c>
      <c r="U11" t="s">
        <v>240</v>
      </c>
      <c r="Y11" t="s">
        <v>308</v>
      </c>
      <c r="Z11" s="8">
        <v>1</v>
      </c>
    </row>
    <row r="12" spans="1:27" x14ac:dyDescent="0.4">
      <c r="E12" t="s">
        <v>59</v>
      </c>
      <c r="F12" t="s">
        <v>45</v>
      </c>
      <c r="H12" t="s">
        <v>140</v>
      </c>
      <c r="L12">
        <v>2030</v>
      </c>
      <c r="Q12" t="s">
        <v>140</v>
      </c>
      <c r="R12">
        <v>60</v>
      </c>
    </row>
    <row r="13" spans="1:27" x14ac:dyDescent="0.4">
      <c r="E13" t="s">
        <v>60</v>
      </c>
      <c r="F13" t="s">
        <v>46</v>
      </c>
      <c r="H13" t="s">
        <v>141</v>
      </c>
      <c r="L13">
        <v>2031</v>
      </c>
      <c r="Q13" t="s">
        <v>141</v>
      </c>
    </row>
    <row r="14" spans="1:27" x14ac:dyDescent="0.4">
      <c r="E14" t="s">
        <v>61</v>
      </c>
      <c r="F14" t="s">
        <v>47</v>
      </c>
      <c r="H14" t="s">
        <v>142</v>
      </c>
      <c r="L14">
        <v>2032</v>
      </c>
      <c r="Q14" t="s">
        <v>142</v>
      </c>
      <c r="R14">
        <v>60</v>
      </c>
    </row>
    <row r="15" spans="1:27" x14ac:dyDescent="0.4">
      <c r="E15" t="s">
        <v>62</v>
      </c>
      <c r="F15" t="s">
        <v>48</v>
      </c>
      <c r="H15" t="s">
        <v>143</v>
      </c>
      <c r="L15">
        <v>2033</v>
      </c>
      <c r="Q15" t="s">
        <v>143</v>
      </c>
    </row>
    <row r="16" spans="1:27" x14ac:dyDescent="0.4">
      <c r="E16" t="s">
        <v>64</v>
      </c>
      <c r="F16" t="s">
        <v>63</v>
      </c>
      <c r="H16" t="s">
        <v>144</v>
      </c>
      <c r="L16">
        <v>2034</v>
      </c>
      <c r="Q16" t="s">
        <v>144</v>
      </c>
    </row>
    <row r="17" spans="5:17" x14ac:dyDescent="0.4">
      <c r="E17" t="s">
        <v>65</v>
      </c>
      <c r="F17" t="s">
        <v>70</v>
      </c>
      <c r="H17" t="s">
        <v>145</v>
      </c>
      <c r="L17">
        <v>2035</v>
      </c>
      <c r="Q17" t="s">
        <v>145</v>
      </c>
    </row>
    <row r="18" spans="5:17" x14ac:dyDescent="0.4">
      <c r="E18" t="s">
        <v>66</v>
      </c>
      <c r="F18" t="s">
        <v>69</v>
      </c>
      <c r="H18" t="s">
        <v>146</v>
      </c>
      <c r="Q18" t="s">
        <v>146</v>
      </c>
    </row>
    <row r="19" spans="5:17" x14ac:dyDescent="0.4">
      <c r="E19" t="s">
        <v>67</v>
      </c>
      <c r="F19" t="s">
        <v>72</v>
      </c>
      <c r="H19" t="s">
        <v>148</v>
      </c>
      <c r="Q19" t="s">
        <v>148</v>
      </c>
    </row>
    <row r="20" spans="5:17" x14ac:dyDescent="0.4">
      <c r="E20" t="s">
        <v>68</v>
      </c>
      <c r="F20" t="s">
        <v>71</v>
      </c>
      <c r="H20" t="s">
        <v>147</v>
      </c>
      <c r="Q20" t="s">
        <v>147</v>
      </c>
    </row>
    <row r="21" spans="5:17" x14ac:dyDescent="0.4">
      <c r="H21" t="s">
        <v>149</v>
      </c>
      <c r="Q21" t="s">
        <v>149</v>
      </c>
    </row>
    <row r="23" spans="5:17" x14ac:dyDescent="0.4">
      <c r="G23" s="5"/>
    </row>
    <row r="25" spans="5:17" x14ac:dyDescent="0.4">
      <c r="G25" s="5"/>
    </row>
    <row r="27" spans="5:17" x14ac:dyDescent="0.4">
      <c r="G27" s="5"/>
    </row>
  </sheetData>
  <mergeCells count="2">
    <mergeCell ref="Q1:R1"/>
    <mergeCell ref="S1:T1"/>
  </mergeCells>
  <hyperlinks>
    <hyperlink ref="B4" r:id="rId1" xr:uid="{CA666253-38DB-46CF-A634-99BE30B8D0E3}"/>
    <hyperlink ref="B2" r:id="rId2" xr:uid="{7EA5544E-ABED-4967-95B2-8A3B2EE30B9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3DE5-69F7-46AC-A496-A744B3860CF0}">
  <sheetPr codeName="Sheet2">
    <tabColor theme="5" tint="0.39997558519241921"/>
  </sheetPr>
  <dimension ref="A1:I15"/>
  <sheetViews>
    <sheetView workbookViewId="0">
      <selection activeCell="E27" sqref="E27"/>
    </sheetView>
  </sheetViews>
  <sheetFormatPr defaultRowHeight="14.6" x14ac:dyDescent="0.4"/>
  <cols>
    <col min="1" max="1" width="15.15234375" customWidth="1"/>
    <col min="2" max="2" width="16.23046875" bestFit="1" customWidth="1"/>
    <col min="3" max="3" width="18.53515625" bestFit="1" customWidth="1"/>
    <col min="5" max="5" width="19.23046875" customWidth="1"/>
    <col min="6" max="6" width="13.4609375" bestFit="1" customWidth="1"/>
    <col min="7" max="7" width="11.765625" customWidth="1"/>
    <col min="8" max="8" width="23.53515625" bestFit="1" customWidth="1"/>
    <col min="9" max="9" width="28.61328125" bestFit="1" customWidth="1"/>
  </cols>
  <sheetData>
    <row r="1" spans="1:9" x14ac:dyDescent="0.4">
      <c r="A1" t="s">
        <v>102</v>
      </c>
      <c r="B1" t="s">
        <v>103</v>
      </c>
      <c r="C1" t="s">
        <v>113</v>
      </c>
      <c r="D1" t="s">
        <v>104</v>
      </c>
      <c r="E1" t="s">
        <v>105</v>
      </c>
      <c r="F1" t="s">
        <v>74</v>
      </c>
    </row>
    <row r="2" spans="1:9" x14ac:dyDescent="0.4">
      <c r="A2" s="3" t="s">
        <v>29</v>
      </c>
      <c r="B2" s="3" t="s">
        <v>95</v>
      </c>
      <c r="C2" t="s">
        <v>114</v>
      </c>
      <c r="D2">
        <v>0</v>
      </c>
      <c r="E2">
        <v>0.17999899999999999</v>
      </c>
      <c r="F2" t="s">
        <v>111</v>
      </c>
    </row>
    <row r="3" spans="1:9" x14ac:dyDescent="0.4">
      <c r="A3" s="3" t="s">
        <v>76</v>
      </c>
      <c r="B3" s="3" t="s">
        <v>96</v>
      </c>
      <c r="C3" t="s">
        <v>117</v>
      </c>
      <c r="D3">
        <v>0.18</v>
      </c>
      <c r="E3">
        <v>0.249999</v>
      </c>
      <c r="F3" t="s">
        <v>110</v>
      </c>
    </row>
    <row r="4" spans="1:9" x14ac:dyDescent="0.4">
      <c r="A4" s="3" t="s">
        <v>98</v>
      </c>
      <c r="B4" s="3" t="s">
        <v>99</v>
      </c>
      <c r="C4" t="s">
        <v>115</v>
      </c>
      <c r="D4">
        <v>0.25</v>
      </c>
      <c r="E4">
        <v>0.279999</v>
      </c>
      <c r="F4" t="s">
        <v>109</v>
      </c>
    </row>
    <row r="5" spans="1:9" x14ac:dyDescent="0.4">
      <c r="A5" s="3" t="s">
        <v>84</v>
      </c>
      <c r="B5" s="3" t="s">
        <v>101</v>
      </c>
      <c r="C5" t="s">
        <v>116</v>
      </c>
      <c r="D5">
        <v>0.28000000000000003</v>
      </c>
      <c r="E5">
        <v>1</v>
      </c>
      <c r="F5" t="s">
        <v>109</v>
      </c>
    </row>
    <row r="6" spans="1:9" x14ac:dyDescent="0.4">
      <c r="A6" s="3" t="s">
        <v>76</v>
      </c>
      <c r="B6" s="3" t="s">
        <v>106</v>
      </c>
      <c r="C6" t="s">
        <v>118</v>
      </c>
      <c r="D6">
        <v>0.03</v>
      </c>
      <c r="E6">
        <v>1</v>
      </c>
    </row>
    <row r="7" spans="1:9" x14ac:dyDescent="0.4">
      <c r="A7" s="3"/>
      <c r="B7" s="3"/>
    </row>
    <row r="10" spans="1:9" x14ac:dyDescent="0.4">
      <c r="G10" s="6"/>
      <c r="I10" s="10"/>
    </row>
    <row r="11" spans="1:9" x14ac:dyDescent="0.4">
      <c r="G11" s="6"/>
      <c r="I11" s="10"/>
    </row>
    <row r="12" spans="1:9" x14ac:dyDescent="0.4">
      <c r="G12" s="6"/>
      <c r="I12" s="10"/>
    </row>
    <row r="13" spans="1:9" x14ac:dyDescent="0.4">
      <c r="G13" s="6"/>
      <c r="I13" s="10"/>
    </row>
    <row r="14" spans="1:9" x14ac:dyDescent="0.4">
      <c r="G14" s="6"/>
      <c r="I14" s="10"/>
    </row>
    <row r="15" spans="1:9" x14ac:dyDescent="0.4">
      <c r="G15" s="6"/>
      <c r="I15" s="10"/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2CACD-A670-45C5-82BD-685AA81080A9}">
  <sheetPr codeName="Sheet3"/>
  <dimension ref="A1:F29"/>
  <sheetViews>
    <sheetView showGridLines="0" topLeftCell="C1" workbookViewId="0">
      <selection activeCell="G1" sqref="G1:AY1048576"/>
    </sheetView>
  </sheetViews>
  <sheetFormatPr defaultRowHeight="14.6" x14ac:dyDescent="0.4"/>
  <cols>
    <col min="1" max="1" width="2.07421875" customWidth="1"/>
    <col min="2" max="2" width="29.765625" bestFit="1" customWidth="1"/>
    <col min="3" max="5" width="30.69140625" customWidth="1"/>
    <col min="6" max="6" width="4.84375" customWidth="1"/>
  </cols>
  <sheetData>
    <row r="1" spans="1:6" x14ac:dyDescent="0.4">
      <c r="A1" s="11"/>
      <c r="B1" s="11"/>
      <c r="C1" s="11"/>
      <c r="D1" s="11"/>
      <c r="E1" s="11"/>
      <c r="F1" s="11"/>
    </row>
    <row r="2" spans="1:6" x14ac:dyDescent="0.4">
      <c r="A2" s="11"/>
      <c r="B2" s="13" t="s">
        <v>169</v>
      </c>
      <c r="C2" s="13"/>
      <c r="D2" s="13"/>
      <c r="E2" s="13"/>
      <c r="F2" s="11"/>
    </row>
    <row r="3" spans="1:6" x14ac:dyDescent="0.4">
      <c r="A3" s="11"/>
      <c r="B3" s="11"/>
      <c r="C3" s="11"/>
      <c r="D3" s="11"/>
      <c r="E3" s="11"/>
      <c r="F3" s="11"/>
    </row>
    <row r="4" spans="1:6" x14ac:dyDescent="0.4">
      <c r="A4" s="11"/>
      <c r="B4" s="12" t="s">
        <v>0</v>
      </c>
      <c r="C4" s="14" t="s">
        <v>163</v>
      </c>
      <c r="D4" s="11"/>
      <c r="E4" s="11"/>
      <c r="F4" s="11"/>
    </row>
    <row r="5" spans="1:6" x14ac:dyDescent="0.4">
      <c r="A5" s="11"/>
      <c r="B5" s="12" t="s">
        <v>8</v>
      </c>
      <c r="C5" s="14" t="s">
        <v>128</v>
      </c>
      <c r="D5" s="11"/>
      <c r="E5" s="11"/>
      <c r="F5" s="11"/>
    </row>
    <row r="6" spans="1:6" x14ac:dyDescent="0.4">
      <c r="A6" s="11"/>
      <c r="B6" s="12" t="s">
        <v>9</v>
      </c>
      <c r="C6" s="14" t="s">
        <v>128</v>
      </c>
      <c r="D6" s="11"/>
      <c r="E6" s="11"/>
      <c r="F6" s="11"/>
    </row>
    <row r="7" spans="1:6" x14ac:dyDescent="0.4">
      <c r="A7" s="11"/>
      <c r="B7" s="12" t="s">
        <v>10</v>
      </c>
      <c r="C7" s="14" t="s">
        <v>128</v>
      </c>
      <c r="D7" s="11"/>
      <c r="E7" s="11"/>
      <c r="F7" s="11"/>
    </row>
    <row r="8" spans="1:6" x14ac:dyDescent="0.4">
      <c r="A8" s="11"/>
      <c r="B8" s="12" t="s">
        <v>11</v>
      </c>
      <c r="C8" s="14" t="s">
        <v>128</v>
      </c>
      <c r="D8" s="11"/>
      <c r="E8" s="11"/>
      <c r="F8" s="11"/>
    </row>
    <row r="9" spans="1:6" x14ac:dyDescent="0.4">
      <c r="A9" s="11"/>
      <c r="B9" s="12" t="s">
        <v>12</v>
      </c>
      <c r="C9" s="14" t="s">
        <v>162</v>
      </c>
      <c r="D9" s="11"/>
      <c r="E9" s="11"/>
      <c r="F9" s="11"/>
    </row>
    <row r="10" spans="1:6" x14ac:dyDescent="0.4">
      <c r="A10" s="11"/>
      <c r="B10" s="12" t="s">
        <v>13</v>
      </c>
      <c r="C10" s="14" t="s">
        <v>128</v>
      </c>
      <c r="D10" s="11"/>
      <c r="E10" s="11"/>
      <c r="F10" s="11"/>
    </row>
    <row r="11" spans="1:6" x14ac:dyDescent="0.4">
      <c r="A11" s="11"/>
      <c r="B11" s="12" t="s">
        <v>14</v>
      </c>
      <c r="C11" s="14" t="s">
        <v>128</v>
      </c>
      <c r="D11" s="11"/>
      <c r="E11" s="11"/>
      <c r="F11" s="11"/>
    </row>
    <row r="12" spans="1:6" x14ac:dyDescent="0.4">
      <c r="A12" s="11"/>
      <c r="B12" s="12" t="s">
        <v>15</v>
      </c>
      <c r="C12" s="14" t="s">
        <v>128</v>
      </c>
      <c r="D12" s="11"/>
      <c r="E12" s="11"/>
      <c r="F12" s="11"/>
    </row>
    <row r="13" spans="1:6" x14ac:dyDescent="0.4">
      <c r="A13" s="11"/>
      <c r="B13" s="12" t="s">
        <v>16</v>
      </c>
      <c r="C13" s="14" t="s">
        <v>128</v>
      </c>
      <c r="D13" s="11"/>
      <c r="E13" s="11"/>
      <c r="F13" s="11"/>
    </row>
    <row r="14" spans="1:6" x14ac:dyDescent="0.4">
      <c r="A14" s="11"/>
      <c r="B14" s="12" t="s">
        <v>17</v>
      </c>
      <c r="C14" s="14" t="s">
        <v>128</v>
      </c>
      <c r="D14" s="11"/>
      <c r="E14" s="11"/>
      <c r="F14" s="11"/>
    </row>
    <row r="15" spans="1:6" x14ac:dyDescent="0.4">
      <c r="A15" s="11"/>
      <c r="B15" s="12" t="s">
        <v>18</v>
      </c>
      <c r="C15" s="14" t="s">
        <v>128</v>
      </c>
      <c r="D15" s="11"/>
      <c r="E15" s="11"/>
      <c r="F15" s="11"/>
    </row>
    <row r="16" spans="1:6" x14ac:dyDescent="0.4">
      <c r="A16" s="11"/>
      <c r="B16" s="12" t="s">
        <v>81</v>
      </c>
      <c r="C16" s="14" t="s">
        <v>128</v>
      </c>
      <c r="D16" s="11"/>
      <c r="E16" s="11"/>
      <c r="F16" s="11"/>
    </row>
    <row r="17" spans="1:6" x14ac:dyDescent="0.4">
      <c r="A17" s="11"/>
      <c r="B17" s="12" t="s">
        <v>87</v>
      </c>
      <c r="C17" s="14" t="s">
        <v>128</v>
      </c>
      <c r="D17" s="11"/>
      <c r="E17" s="11"/>
      <c r="F17" s="11"/>
    </row>
    <row r="18" spans="1:6" x14ac:dyDescent="0.4">
      <c r="A18" s="11"/>
      <c r="B18" s="12" t="s">
        <v>89</v>
      </c>
      <c r="C18" s="14" t="s">
        <v>128</v>
      </c>
      <c r="D18" s="11"/>
      <c r="E18" s="11"/>
      <c r="F18" s="11"/>
    </row>
    <row r="19" spans="1:6" x14ac:dyDescent="0.4">
      <c r="A19" s="11"/>
      <c r="B19" s="12" t="s">
        <v>88</v>
      </c>
      <c r="C19" s="14" t="s">
        <v>128</v>
      </c>
      <c r="D19" s="11"/>
      <c r="E19" s="11"/>
      <c r="F19" s="11"/>
    </row>
    <row r="20" spans="1:6" x14ac:dyDescent="0.4">
      <c r="A20" s="11"/>
      <c r="B20" s="12" t="s">
        <v>90</v>
      </c>
      <c r="C20" s="14" t="s">
        <v>161</v>
      </c>
      <c r="D20" s="11"/>
      <c r="E20" s="11"/>
      <c r="F20" s="11"/>
    </row>
    <row r="21" spans="1:6" ht="15" thickBot="1" x14ac:dyDescent="0.45">
      <c r="A21" s="11"/>
      <c r="B21" s="11"/>
      <c r="C21" s="11"/>
      <c r="D21" s="11"/>
      <c r="E21" s="11"/>
      <c r="F21" s="11"/>
    </row>
    <row r="22" spans="1:6" ht="40.299999999999997" customHeight="1" thickBot="1" x14ac:dyDescent="0.45">
      <c r="A22" s="11"/>
      <c r="B22" s="11"/>
      <c r="C22" s="22" t="s">
        <v>119</v>
      </c>
      <c r="D22" s="22" t="s">
        <v>120</v>
      </c>
      <c r="E22" s="22" t="s">
        <v>121</v>
      </c>
      <c r="F22" s="11"/>
    </row>
    <row r="23" spans="1:6" x14ac:dyDescent="0.4">
      <c r="A23" s="11"/>
      <c r="B23" s="11"/>
      <c r="C23" s="11"/>
      <c r="D23" s="11"/>
      <c r="E23" s="11"/>
      <c r="F23" s="11"/>
    </row>
    <row r="24" spans="1:6" ht="15" thickBot="1" x14ac:dyDescent="0.45">
      <c r="A24" s="19"/>
      <c r="B24" s="19"/>
      <c r="C24" s="19"/>
      <c r="D24" s="19"/>
      <c r="E24" s="19"/>
      <c r="F24" s="19"/>
    </row>
    <row r="25" spans="1:6" x14ac:dyDescent="0.4">
      <c r="A25" s="15"/>
      <c r="B25" s="26" t="s">
        <v>122</v>
      </c>
      <c r="C25" s="26" t="s">
        <v>123</v>
      </c>
    </row>
    <row r="26" spans="1:6" ht="15" thickBot="1" x14ac:dyDescent="0.45">
      <c r="A26" s="15"/>
      <c r="B26" s="27"/>
      <c r="C26" s="27"/>
    </row>
    <row r="27" spans="1:6" ht="15" thickBot="1" x14ac:dyDescent="0.45"/>
    <row r="28" spans="1:6" ht="15" thickBot="1" x14ac:dyDescent="0.45">
      <c r="B28" s="23" t="s">
        <v>8</v>
      </c>
      <c r="C28" s="24" t="s">
        <v>11</v>
      </c>
      <c r="D28" s="24" t="s">
        <v>12</v>
      </c>
      <c r="E28" s="25" t="s">
        <v>81</v>
      </c>
    </row>
    <row r="29" spans="1:6" x14ac:dyDescent="0.4">
      <c r="B29" s="17" t="s">
        <v>124</v>
      </c>
      <c r="C29" s="18"/>
      <c r="D29" s="18"/>
      <c r="E29" s="18"/>
    </row>
  </sheetData>
  <mergeCells count="1">
    <mergeCell ref="B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4F23-6ACF-4E39-97A3-E689C7A95A75}">
  <sheetPr codeName="Sheet14">
    <tabColor theme="5" tint="0.39997558519241921"/>
  </sheetPr>
  <dimension ref="A1:Y623"/>
  <sheetViews>
    <sheetView showGridLines="0" workbookViewId="0">
      <selection activeCell="I12" sqref="I12"/>
    </sheetView>
  </sheetViews>
  <sheetFormatPr defaultRowHeight="14.6" x14ac:dyDescent="0.4"/>
  <cols>
    <col min="1" max="1" width="11.23046875" customWidth="1"/>
    <col min="2" max="2" width="8.69140625" customWidth="1"/>
    <col min="3" max="3" width="10.07421875" customWidth="1"/>
    <col min="4" max="4" width="19.4609375" customWidth="1"/>
    <col min="5" max="6" width="10.84375" customWidth="1"/>
    <col min="7" max="7" width="6" customWidth="1"/>
    <col min="8" max="8" width="9.3046875" customWidth="1"/>
    <col min="9" max="9" width="9.53515625" customWidth="1"/>
    <col min="10" max="10" width="14.84375" customWidth="1"/>
    <col min="11" max="11" width="19.84375" customWidth="1"/>
    <col min="12" max="12" width="24" customWidth="1"/>
    <col min="13" max="13" width="15.07421875" customWidth="1"/>
    <col min="14" max="14" width="25.921875" customWidth="1"/>
    <col min="15" max="15" width="25.15234375" customWidth="1"/>
    <col min="16" max="16" width="29.3046875" customWidth="1"/>
    <col min="17" max="17" width="20.3828125" customWidth="1"/>
    <col min="18" max="18" width="31.23046875" customWidth="1"/>
    <col min="19" max="19" width="15.53515625" customWidth="1"/>
    <col min="20" max="20" width="9" customWidth="1"/>
    <col min="21" max="21" width="21.921875" style="91" customWidth="1"/>
    <col min="22" max="23" width="21.921875" customWidth="1"/>
    <col min="24" max="24" width="21.921875" style="4" customWidth="1"/>
    <col min="25" max="25" width="21.921875" customWidth="1"/>
  </cols>
  <sheetData>
    <row r="1" spans="1:25" x14ac:dyDescent="0.4">
      <c r="A1" s="5" t="s">
        <v>1</v>
      </c>
      <c r="B1" s="5" t="s">
        <v>2</v>
      </c>
      <c r="C1" s="5" t="s">
        <v>0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5" t="s">
        <v>22</v>
      </c>
      <c r="S1" s="5" t="s">
        <v>81</v>
      </c>
      <c r="T1" s="5" t="s">
        <v>87</v>
      </c>
      <c r="U1" s="90" t="s">
        <v>89</v>
      </c>
      <c r="V1" s="5" t="s">
        <v>88</v>
      </c>
      <c r="W1" s="5" t="s">
        <v>91</v>
      </c>
      <c r="X1" s="92" t="s">
        <v>2594</v>
      </c>
      <c r="Y1" s="5" t="s">
        <v>90</v>
      </c>
    </row>
    <row r="2" spans="1:25" x14ac:dyDescent="0.4">
      <c r="C2" t="s">
        <v>3</v>
      </c>
      <c r="D2" t="s">
        <v>310</v>
      </c>
      <c r="E2" t="s">
        <v>923</v>
      </c>
      <c r="G2" t="s">
        <v>1004</v>
      </c>
      <c r="H2" t="s">
        <v>43</v>
      </c>
      <c r="J2">
        <v>0</v>
      </c>
      <c r="K2">
        <v>0</v>
      </c>
      <c r="L2">
        <v>0</v>
      </c>
      <c r="M2">
        <v>0</v>
      </c>
      <c r="N2">
        <v>0</v>
      </c>
      <c r="S2" t="s">
        <v>2503</v>
      </c>
      <c r="V2">
        <v>0</v>
      </c>
      <c r="X2" s="4">
        <v>0</v>
      </c>
    </row>
    <row r="3" spans="1:25" x14ac:dyDescent="0.4">
      <c r="C3" t="s">
        <v>4</v>
      </c>
      <c r="D3" t="s">
        <v>311</v>
      </c>
      <c r="E3" t="s">
        <v>924</v>
      </c>
      <c r="G3" t="s">
        <v>1423</v>
      </c>
      <c r="H3" t="s">
        <v>35</v>
      </c>
      <c r="J3">
        <v>0</v>
      </c>
      <c r="K3">
        <v>0</v>
      </c>
      <c r="L3">
        <v>0</v>
      </c>
      <c r="M3">
        <v>0</v>
      </c>
      <c r="N3">
        <v>0</v>
      </c>
      <c r="S3" t="s">
        <v>2504</v>
      </c>
      <c r="V3">
        <v>0</v>
      </c>
      <c r="X3" s="4">
        <v>0</v>
      </c>
    </row>
    <row r="4" spans="1:25" x14ac:dyDescent="0.4">
      <c r="C4" t="s">
        <v>3</v>
      </c>
      <c r="D4" t="s">
        <v>312</v>
      </c>
      <c r="E4" t="s">
        <v>925</v>
      </c>
      <c r="G4" t="s">
        <v>1154</v>
      </c>
      <c r="H4" t="s">
        <v>37</v>
      </c>
      <c r="J4">
        <v>0</v>
      </c>
      <c r="K4">
        <v>0</v>
      </c>
      <c r="L4">
        <v>0</v>
      </c>
      <c r="M4">
        <v>0</v>
      </c>
      <c r="N4">
        <v>0</v>
      </c>
      <c r="S4" t="s">
        <v>2503</v>
      </c>
      <c r="V4">
        <v>0</v>
      </c>
      <c r="X4" s="4">
        <v>0</v>
      </c>
    </row>
    <row r="5" spans="1:25" x14ac:dyDescent="0.4">
      <c r="C5" t="s">
        <v>4</v>
      </c>
      <c r="D5" t="s">
        <v>313</v>
      </c>
      <c r="E5" t="s">
        <v>926</v>
      </c>
      <c r="G5" t="s">
        <v>1417</v>
      </c>
      <c r="H5" t="s">
        <v>35</v>
      </c>
      <c r="J5">
        <v>0</v>
      </c>
      <c r="K5">
        <v>0</v>
      </c>
      <c r="L5">
        <v>0</v>
      </c>
      <c r="M5">
        <v>0</v>
      </c>
      <c r="N5">
        <v>0</v>
      </c>
      <c r="S5" t="s">
        <v>2503</v>
      </c>
      <c r="V5">
        <v>0</v>
      </c>
    </row>
    <row r="6" spans="1:25" x14ac:dyDescent="0.4">
      <c r="C6" t="s">
        <v>3</v>
      </c>
      <c r="D6" t="s">
        <v>314</v>
      </c>
      <c r="E6" t="s">
        <v>927</v>
      </c>
      <c r="G6" t="s">
        <v>1417</v>
      </c>
      <c r="H6" t="s">
        <v>35</v>
      </c>
      <c r="J6">
        <v>0</v>
      </c>
      <c r="K6">
        <v>0</v>
      </c>
      <c r="L6">
        <v>0</v>
      </c>
      <c r="M6">
        <v>0</v>
      </c>
      <c r="N6">
        <v>0</v>
      </c>
      <c r="S6" t="s">
        <v>2503</v>
      </c>
      <c r="V6">
        <v>0</v>
      </c>
    </row>
    <row r="7" spans="1:25" x14ac:dyDescent="0.4">
      <c r="C7" t="s">
        <v>4</v>
      </c>
      <c r="D7" t="s">
        <v>315</v>
      </c>
      <c r="E7" t="s">
        <v>928</v>
      </c>
      <c r="G7" t="s">
        <v>1485</v>
      </c>
      <c r="H7" t="s">
        <v>36</v>
      </c>
      <c r="J7">
        <v>0</v>
      </c>
      <c r="K7">
        <v>0</v>
      </c>
      <c r="L7">
        <v>0</v>
      </c>
      <c r="M7">
        <v>0</v>
      </c>
      <c r="N7">
        <v>0</v>
      </c>
      <c r="S7" t="s">
        <v>2503</v>
      </c>
      <c r="V7">
        <v>0</v>
      </c>
      <c r="Y7" t="s">
        <v>250</v>
      </c>
    </row>
    <row r="8" spans="1:25" x14ac:dyDescent="0.4">
      <c r="C8" t="s">
        <v>3</v>
      </c>
      <c r="D8" t="s">
        <v>316</v>
      </c>
      <c r="G8" t="s">
        <v>1485</v>
      </c>
      <c r="H8" t="s">
        <v>36</v>
      </c>
      <c r="J8">
        <v>0</v>
      </c>
      <c r="K8">
        <v>0</v>
      </c>
      <c r="L8">
        <v>0</v>
      </c>
      <c r="M8">
        <v>0</v>
      </c>
      <c r="N8">
        <v>0</v>
      </c>
      <c r="S8" t="s">
        <v>2503</v>
      </c>
      <c r="V8">
        <v>0</v>
      </c>
    </row>
    <row r="9" spans="1:25" x14ac:dyDescent="0.4">
      <c r="C9" t="s">
        <v>3</v>
      </c>
      <c r="D9" t="s">
        <v>317</v>
      </c>
      <c r="E9" t="s">
        <v>929</v>
      </c>
      <c r="G9" t="s">
        <v>1486</v>
      </c>
      <c r="H9" t="s">
        <v>40</v>
      </c>
      <c r="J9">
        <v>0</v>
      </c>
      <c r="K9">
        <v>0</v>
      </c>
      <c r="L9">
        <v>0</v>
      </c>
      <c r="M9">
        <v>0</v>
      </c>
      <c r="N9">
        <v>0</v>
      </c>
      <c r="S9" t="s">
        <v>2503</v>
      </c>
      <c r="V9">
        <v>0</v>
      </c>
    </row>
    <row r="10" spans="1:25" x14ac:dyDescent="0.4">
      <c r="C10" t="s">
        <v>4</v>
      </c>
      <c r="D10" t="s">
        <v>318</v>
      </c>
      <c r="E10" t="s">
        <v>930</v>
      </c>
      <c r="G10" t="s">
        <v>963</v>
      </c>
      <c r="H10" t="s">
        <v>37</v>
      </c>
      <c r="J10">
        <v>0</v>
      </c>
      <c r="K10">
        <v>0</v>
      </c>
      <c r="L10">
        <v>0</v>
      </c>
      <c r="M10">
        <v>0</v>
      </c>
      <c r="N10">
        <v>0</v>
      </c>
      <c r="S10" t="s">
        <v>2503</v>
      </c>
      <c r="V10">
        <v>0</v>
      </c>
    </row>
    <row r="11" spans="1:25" x14ac:dyDescent="0.4">
      <c r="C11" t="s">
        <v>4</v>
      </c>
      <c r="D11" t="s">
        <v>319</v>
      </c>
      <c r="E11" t="s">
        <v>931</v>
      </c>
      <c r="G11" t="s">
        <v>1423</v>
      </c>
      <c r="H11" t="s">
        <v>35</v>
      </c>
      <c r="J11">
        <v>0</v>
      </c>
      <c r="K11">
        <v>0</v>
      </c>
      <c r="L11">
        <v>0</v>
      </c>
      <c r="M11">
        <v>0</v>
      </c>
      <c r="N11">
        <v>0</v>
      </c>
      <c r="S11" t="s">
        <v>2503</v>
      </c>
      <c r="V11">
        <v>0</v>
      </c>
    </row>
    <row r="12" spans="1:25" x14ac:dyDescent="0.4">
      <c r="C12" t="s">
        <v>3</v>
      </c>
      <c r="D12" t="s">
        <v>320</v>
      </c>
      <c r="G12" t="s">
        <v>1423</v>
      </c>
      <c r="H12" t="s">
        <v>35</v>
      </c>
      <c r="J12">
        <v>0</v>
      </c>
      <c r="K12">
        <v>0</v>
      </c>
      <c r="L12">
        <v>0</v>
      </c>
      <c r="M12">
        <v>0</v>
      </c>
      <c r="N12">
        <v>0</v>
      </c>
      <c r="S12" t="s">
        <v>2503</v>
      </c>
      <c r="V12">
        <v>0</v>
      </c>
    </row>
    <row r="13" spans="1:25" x14ac:dyDescent="0.4">
      <c r="C13" t="s">
        <v>3</v>
      </c>
      <c r="D13" t="s">
        <v>321</v>
      </c>
      <c r="G13" t="s">
        <v>65</v>
      </c>
      <c r="H13" t="s">
        <v>39</v>
      </c>
      <c r="J13">
        <v>0</v>
      </c>
      <c r="K13">
        <v>0</v>
      </c>
      <c r="L13">
        <v>0</v>
      </c>
      <c r="M13">
        <v>0</v>
      </c>
      <c r="N13">
        <v>0</v>
      </c>
      <c r="S13" t="s">
        <v>2503</v>
      </c>
      <c r="V13">
        <v>0</v>
      </c>
    </row>
    <row r="14" spans="1:25" x14ac:dyDescent="0.4">
      <c r="C14" t="s">
        <v>3</v>
      </c>
      <c r="D14" t="s">
        <v>322</v>
      </c>
      <c r="G14" t="s">
        <v>1487</v>
      </c>
      <c r="H14" t="s">
        <v>41</v>
      </c>
      <c r="J14">
        <v>0</v>
      </c>
      <c r="K14">
        <v>0</v>
      </c>
      <c r="L14">
        <v>0</v>
      </c>
      <c r="M14">
        <v>0</v>
      </c>
      <c r="N14">
        <v>0</v>
      </c>
      <c r="S14" t="s">
        <v>2503</v>
      </c>
      <c r="V14">
        <v>0</v>
      </c>
    </row>
    <row r="15" spans="1:25" x14ac:dyDescent="0.4">
      <c r="C15" t="s">
        <v>4</v>
      </c>
      <c r="D15" t="s">
        <v>323</v>
      </c>
      <c r="H15" t="s">
        <v>38</v>
      </c>
      <c r="J15">
        <v>0</v>
      </c>
      <c r="K15">
        <v>0</v>
      </c>
      <c r="L15">
        <v>0</v>
      </c>
      <c r="M15">
        <v>0</v>
      </c>
      <c r="N15">
        <v>0</v>
      </c>
      <c r="S15" t="s">
        <v>2503</v>
      </c>
      <c r="V15">
        <v>0</v>
      </c>
      <c r="Y15" t="s">
        <v>100</v>
      </c>
    </row>
    <row r="16" spans="1:25" x14ac:dyDescent="0.4">
      <c r="C16" t="s">
        <v>4</v>
      </c>
      <c r="D16" t="s">
        <v>324</v>
      </c>
      <c r="E16" t="s">
        <v>932</v>
      </c>
      <c r="G16" t="s">
        <v>963</v>
      </c>
      <c r="H16" t="s">
        <v>37</v>
      </c>
      <c r="J16">
        <v>0</v>
      </c>
      <c r="K16">
        <v>0</v>
      </c>
      <c r="L16">
        <v>0</v>
      </c>
      <c r="M16">
        <v>0</v>
      </c>
      <c r="N16">
        <v>0</v>
      </c>
      <c r="S16" t="s">
        <v>2503</v>
      </c>
      <c r="V16" t="s">
        <v>2515</v>
      </c>
    </row>
    <row r="17" spans="3:22" x14ac:dyDescent="0.4">
      <c r="C17" t="s">
        <v>3</v>
      </c>
      <c r="D17" t="s">
        <v>325</v>
      </c>
      <c r="G17" t="s">
        <v>1488</v>
      </c>
      <c r="H17" t="s">
        <v>42</v>
      </c>
      <c r="J17">
        <v>0</v>
      </c>
      <c r="K17">
        <v>0</v>
      </c>
      <c r="L17">
        <v>0</v>
      </c>
      <c r="M17">
        <v>0</v>
      </c>
      <c r="N17">
        <v>0</v>
      </c>
      <c r="S17" t="s">
        <v>2503</v>
      </c>
      <c r="V17">
        <v>0</v>
      </c>
    </row>
    <row r="18" spans="3:22" x14ac:dyDescent="0.4">
      <c r="C18" t="s">
        <v>3</v>
      </c>
      <c r="D18" t="s">
        <v>326</v>
      </c>
      <c r="G18" t="s">
        <v>1423</v>
      </c>
      <c r="H18" t="s">
        <v>35</v>
      </c>
      <c r="J18">
        <v>0</v>
      </c>
      <c r="K18">
        <v>0</v>
      </c>
      <c r="L18">
        <v>0</v>
      </c>
      <c r="M18">
        <v>0</v>
      </c>
      <c r="N18">
        <v>0</v>
      </c>
      <c r="S18" t="s">
        <v>2503</v>
      </c>
      <c r="V18">
        <v>0</v>
      </c>
    </row>
    <row r="19" spans="3:22" x14ac:dyDescent="0.4">
      <c r="C19" t="s">
        <v>3</v>
      </c>
      <c r="D19" t="s">
        <v>327</v>
      </c>
      <c r="H19" t="s">
        <v>40</v>
      </c>
      <c r="J19">
        <v>0</v>
      </c>
      <c r="K19">
        <v>0</v>
      </c>
      <c r="L19">
        <v>0</v>
      </c>
      <c r="M19">
        <v>0</v>
      </c>
      <c r="N19">
        <v>0</v>
      </c>
      <c r="S19" t="s">
        <v>2503</v>
      </c>
      <c r="V19">
        <v>0</v>
      </c>
    </row>
    <row r="20" spans="3:22" x14ac:dyDescent="0.4">
      <c r="C20" t="s">
        <v>3</v>
      </c>
      <c r="D20" t="s">
        <v>328</v>
      </c>
      <c r="E20" t="s">
        <v>933</v>
      </c>
      <c r="G20" t="s">
        <v>963</v>
      </c>
      <c r="H20" t="s">
        <v>37</v>
      </c>
      <c r="J20">
        <v>0</v>
      </c>
      <c r="K20">
        <v>0</v>
      </c>
      <c r="L20">
        <v>0</v>
      </c>
      <c r="M20">
        <v>0</v>
      </c>
      <c r="N20">
        <v>0</v>
      </c>
      <c r="S20" t="s">
        <v>2503</v>
      </c>
      <c r="V20">
        <v>0</v>
      </c>
    </row>
    <row r="21" spans="3:22" x14ac:dyDescent="0.4">
      <c r="C21" t="s">
        <v>3</v>
      </c>
      <c r="D21" t="s">
        <v>329</v>
      </c>
      <c r="E21" t="s">
        <v>934</v>
      </c>
      <c r="G21" t="s">
        <v>1489</v>
      </c>
      <c r="H21" t="s">
        <v>37</v>
      </c>
      <c r="J21">
        <v>0</v>
      </c>
      <c r="K21">
        <v>0</v>
      </c>
      <c r="L21">
        <v>0</v>
      </c>
      <c r="M21">
        <v>0</v>
      </c>
      <c r="N21">
        <v>0</v>
      </c>
      <c r="S21" t="s">
        <v>2503</v>
      </c>
      <c r="V21">
        <v>0</v>
      </c>
    </row>
    <row r="22" spans="3:22" x14ac:dyDescent="0.4">
      <c r="C22" t="s">
        <v>3</v>
      </c>
      <c r="D22" t="s">
        <v>330</v>
      </c>
      <c r="E22" t="s">
        <v>935</v>
      </c>
      <c r="H22" t="s">
        <v>37</v>
      </c>
      <c r="J22">
        <v>0</v>
      </c>
      <c r="K22">
        <v>0</v>
      </c>
      <c r="L22">
        <v>0</v>
      </c>
      <c r="M22">
        <v>0</v>
      </c>
      <c r="N22">
        <v>0</v>
      </c>
      <c r="S22" t="s">
        <v>2503</v>
      </c>
      <c r="V22">
        <v>0</v>
      </c>
    </row>
    <row r="23" spans="3:22" x14ac:dyDescent="0.4">
      <c r="C23" t="s">
        <v>4</v>
      </c>
      <c r="D23" t="s">
        <v>331</v>
      </c>
      <c r="E23" t="s">
        <v>936</v>
      </c>
      <c r="G23" t="s">
        <v>1490</v>
      </c>
      <c r="H23" t="s">
        <v>39</v>
      </c>
      <c r="J23">
        <v>0</v>
      </c>
      <c r="K23">
        <v>0</v>
      </c>
      <c r="L23">
        <v>0</v>
      </c>
      <c r="M23">
        <v>0</v>
      </c>
      <c r="N23">
        <v>0</v>
      </c>
      <c r="S23" t="s">
        <v>2503</v>
      </c>
      <c r="V23" t="s">
        <v>2516</v>
      </c>
    </row>
    <row r="24" spans="3:22" x14ac:dyDescent="0.4">
      <c r="C24" t="s">
        <v>3</v>
      </c>
      <c r="D24" t="s">
        <v>332</v>
      </c>
      <c r="H24" t="s">
        <v>35</v>
      </c>
      <c r="J24">
        <v>0</v>
      </c>
      <c r="K24">
        <v>0</v>
      </c>
      <c r="L24">
        <v>0</v>
      </c>
      <c r="M24">
        <v>0</v>
      </c>
      <c r="N24">
        <v>0</v>
      </c>
      <c r="S24" t="s">
        <v>2503</v>
      </c>
      <c r="V24">
        <v>0</v>
      </c>
    </row>
    <row r="25" spans="3:22" x14ac:dyDescent="0.4">
      <c r="C25" t="s">
        <v>4</v>
      </c>
      <c r="D25" t="s">
        <v>333</v>
      </c>
      <c r="E25" t="s">
        <v>937</v>
      </c>
      <c r="G25" t="s">
        <v>1485</v>
      </c>
      <c r="H25" t="s">
        <v>36</v>
      </c>
      <c r="I25" t="s">
        <v>1491</v>
      </c>
      <c r="J25">
        <v>0</v>
      </c>
      <c r="K25">
        <v>0</v>
      </c>
      <c r="L25">
        <v>0</v>
      </c>
      <c r="M25">
        <v>0</v>
      </c>
      <c r="N25">
        <v>0</v>
      </c>
      <c r="S25" t="s">
        <v>2503</v>
      </c>
      <c r="V25">
        <v>0</v>
      </c>
    </row>
    <row r="26" spans="3:22" x14ac:dyDescent="0.4">
      <c r="C26" t="s">
        <v>3</v>
      </c>
      <c r="D26" t="s">
        <v>334</v>
      </c>
      <c r="H26" t="s">
        <v>36</v>
      </c>
      <c r="J26">
        <v>0</v>
      </c>
      <c r="K26">
        <v>0</v>
      </c>
      <c r="L26">
        <v>0</v>
      </c>
      <c r="M26">
        <v>0</v>
      </c>
      <c r="N26">
        <v>0</v>
      </c>
      <c r="S26" t="s">
        <v>2503</v>
      </c>
      <c r="V26">
        <v>0</v>
      </c>
    </row>
    <row r="27" spans="3:22" x14ac:dyDescent="0.4">
      <c r="C27" t="s">
        <v>4</v>
      </c>
      <c r="D27" t="s">
        <v>335</v>
      </c>
      <c r="E27" t="s">
        <v>938</v>
      </c>
      <c r="G27" t="s">
        <v>1926</v>
      </c>
      <c r="H27" t="s">
        <v>35</v>
      </c>
      <c r="J27">
        <v>0</v>
      </c>
      <c r="K27">
        <v>0</v>
      </c>
      <c r="L27">
        <v>0</v>
      </c>
      <c r="M27">
        <v>0</v>
      </c>
      <c r="N27">
        <v>0</v>
      </c>
      <c r="S27" t="s">
        <v>2505</v>
      </c>
      <c r="V27">
        <v>0</v>
      </c>
    </row>
    <row r="28" spans="3:22" x14ac:dyDescent="0.4">
      <c r="C28" t="s">
        <v>4</v>
      </c>
      <c r="D28" t="s">
        <v>336</v>
      </c>
      <c r="E28" t="s">
        <v>939</v>
      </c>
      <c r="H28" t="s">
        <v>36</v>
      </c>
      <c r="J28">
        <v>0</v>
      </c>
      <c r="K28">
        <v>0</v>
      </c>
      <c r="L28">
        <v>0</v>
      </c>
      <c r="M28">
        <v>0</v>
      </c>
      <c r="N28">
        <v>0</v>
      </c>
      <c r="S28" t="s">
        <v>2503</v>
      </c>
      <c r="V28">
        <v>0</v>
      </c>
    </row>
    <row r="29" spans="3:22" x14ac:dyDescent="0.4">
      <c r="C29" t="s">
        <v>4</v>
      </c>
      <c r="D29" t="s">
        <v>337</v>
      </c>
      <c r="E29" t="s">
        <v>940</v>
      </c>
      <c r="G29" t="s">
        <v>940</v>
      </c>
      <c r="H29" t="s">
        <v>40</v>
      </c>
      <c r="J29">
        <v>0</v>
      </c>
      <c r="K29">
        <v>0</v>
      </c>
      <c r="L29">
        <v>0</v>
      </c>
      <c r="M29">
        <v>0</v>
      </c>
      <c r="N29">
        <v>0</v>
      </c>
      <c r="S29" t="s">
        <v>2503</v>
      </c>
      <c r="V29">
        <v>0</v>
      </c>
    </row>
    <row r="30" spans="3:22" x14ac:dyDescent="0.4">
      <c r="C30" t="s">
        <v>3</v>
      </c>
      <c r="D30" t="s">
        <v>338</v>
      </c>
      <c r="E30" t="s">
        <v>941</v>
      </c>
      <c r="G30" t="s">
        <v>1492</v>
      </c>
      <c r="H30" t="s">
        <v>41</v>
      </c>
      <c r="J30">
        <v>0</v>
      </c>
      <c r="K30">
        <v>0</v>
      </c>
      <c r="L30">
        <v>0</v>
      </c>
      <c r="M30">
        <v>0</v>
      </c>
      <c r="N30">
        <v>0</v>
      </c>
      <c r="S30" t="s">
        <v>2503</v>
      </c>
      <c r="V30">
        <v>0</v>
      </c>
    </row>
    <row r="31" spans="3:22" x14ac:dyDescent="0.4">
      <c r="C31" t="s">
        <v>3</v>
      </c>
      <c r="D31" t="s">
        <v>339</v>
      </c>
      <c r="E31" t="s">
        <v>942</v>
      </c>
      <c r="G31" t="s">
        <v>1423</v>
      </c>
      <c r="H31" t="s">
        <v>35</v>
      </c>
      <c r="J31">
        <v>0</v>
      </c>
      <c r="K31">
        <v>0</v>
      </c>
      <c r="L31">
        <v>0</v>
      </c>
      <c r="M31">
        <v>0</v>
      </c>
      <c r="N31">
        <v>0</v>
      </c>
      <c r="S31" t="s">
        <v>2503</v>
      </c>
      <c r="V31">
        <v>0</v>
      </c>
    </row>
    <row r="32" spans="3:22" x14ac:dyDescent="0.4">
      <c r="C32" t="s">
        <v>4</v>
      </c>
      <c r="D32" t="s">
        <v>340</v>
      </c>
      <c r="G32" t="s">
        <v>1493</v>
      </c>
      <c r="H32" t="s">
        <v>37</v>
      </c>
      <c r="J32">
        <v>0</v>
      </c>
      <c r="K32" t="s">
        <v>2076</v>
      </c>
      <c r="L32" t="s">
        <v>2077</v>
      </c>
      <c r="M32" t="s">
        <v>2078</v>
      </c>
      <c r="N32" t="s">
        <v>2079</v>
      </c>
      <c r="S32" t="s">
        <v>2503</v>
      </c>
      <c r="V32">
        <v>0</v>
      </c>
    </row>
    <row r="33" spans="3:25" x14ac:dyDescent="0.4">
      <c r="C33" t="s">
        <v>3</v>
      </c>
      <c r="D33" t="s">
        <v>341</v>
      </c>
      <c r="G33" t="s">
        <v>963</v>
      </c>
      <c r="H33" t="s">
        <v>37</v>
      </c>
      <c r="J33">
        <v>0</v>
      </c>
      <c r="K33">
        <v>0</v>
      </c>
      <c r="L33">
        <v>0</v>
      </c>
      <c r="M33">
        <v>0</v>
      </c>
      <c r="N33">
        <v>0</v>
      </c>
      <c r="S33" t="s">
        <v>2503</v>
      </c>
      <c r="V33">
        <v>0</v>
      </c>
    </row>
    <row r="34" spans="3:25" x14ac:dyDescent="0.4">
      <c r="C34" t="s">
        <v>4</v>
      </c>
      <c r="D34" t="s">
        <v>342</v>
      </c>
      <c r="H34" t="s">
        <v>41</v>
      </c>
      <c r="J34">
        <v>0</v>
      </c>
      <c r="K34">
        <v>0</v>
      </c>
      <c r="L34">
        <v>0</v>
      </c>
      <c r="M34">
        <v>0</v>
      </c>
      <c r="N34">
        <v>0</v>
      </c>
      <c r="S34" t="s">
        <v>2503</v>
      </c>
      <c r="V34">
        <v>0</v>
      </c>
      <c r="Y34" t="s">
        <v>250</v>
      </c>
    </row>
    <row r="35" spans="3:25" x14ac:dyDescent="0.4">
      <c r="C35" t="s">
        <v>3</v>
      </c>
      <c r="D35" t="s">
        <v>343</v>
      </c>
      <c r="H35" t="s">
        <v>36</v>
      </c>
      <c r="J35">
        <v>0</v>
      </c>
      <c r="K35">
        <v>0</v>
      </c>
      <c r="L35">
        <v>0</v>
      </c>
      <c r="M35">
        <v>0</v>
      </c>
      <c r="N35">
        <v>0</v>
      </c>
      <c r="S35" t="s">
        <v>2503</v>
      </c>
      <c r="V35">
        <v>0</v>
      </c>
    </row>
    <row r="36" spans="3:25" x14ac:dyDescent="0.4">
      <c r="C36" t="s">
        <v>3</v>
      </c>
      <c r="D36" t="s">
        <v>344</v>
      </c>
      <c r="G36" t="s">
        <v>1494</v>
      </c>
      <c r="H36" t="s">
        <v>63</v>
      </c>
      <c r="J36">
        <v>0</v>
      </c>
      <c r="K36">
        <v>0</v>
      </c>
      <c r="L36">
        <v>0</v>
      </c>
      <c r="M36">
        <v>0</v>
      </c>
      <c r="N36">
        <v>0</v>
      </c>
      <c r="S36" t="s">
        <v>2503</v>
      </c>
      <c r="V36">
        <v>0</v>
      </c>
    </row>
    <row r="37" spans="3:25" x14ac:dyDescent="0.4">
      <c r="C37" t="s">
        <v>4</v>
      </c>
      <c r="D37" t="s">
        <v>345</v>
      </c>
      <c r="E37" t="s">
        <v>943</v>
      </c>
      <c r="G37" t="s">
        <v>1495</v>
      </c>
      <c r="H37" t="s">
        <v>37</v>
      </c>
      <c r="J37">
        <v>0</v>
      </c>
      <c r="K37">
        <v>0</v>
      </c>
      <c r="L37">
        <v>0</v>
      </c>
      <c r="M37">
        <v>0</v>
      </c>
      <c r="N37">
        <v>0</v>
      </c>
      <c r="S37" t="s">
        <v>2503</v>
      </c>
      <c r="V37">
        <v>0</v>
      </c>
    </row>
    <row r="38" spans="3:25" x14ac:dyDescent="0.4">
      <c r="C38" t="s">
        <v>3</v>
      </c>
      <c r="D38" t="s">
        <v>346</v>
      </c>
      <c r="G38" t="s">
        <v>1496</v>
      </c>
      <c r="H38" t="s">
        <v>37</v>
      </c>
      <c r="J38">
        <v>0</v>
      </c>
      <c r="K38">
        <v>0</v>
      </c>
      <c r="L38">
        <v>0</v>
      </c>
      <c r="M38">
        <v>0</v>
      </c>
      <c r="N38">
        <v>0</v>
      </c>
      <c r="S38" t="s">
        <v>2503</v>
      </c>
      <c r="V38">
        <v>0</v>
      </c>
    </row>
    <row r="39" spans="3:25" x14ac:dyDescent="0.4">
      <c r="C39" t="s">
        <v>3</v>
      </c>
      <c r="D39" t="s">
        <v>347</v>
      </c>
      <c r="E39" t="s">
        <v>944</v>
      </c>
      <c r="G39" t="s">
        <v>940</v>
      </c>
      <c r="H39" t="s">
        <v>40</v>
      </c>
      <c r="J39">
        <v>0</v>
      </c>
      <c r="K39">
        <v>0</v>
      </c>
      <c r="L39">
        <v>0</v>
      </c>
      <c r="M39">
        <v>0</v>
      </c>
      <c r="N39">
        <v>0</v>
      </c>
      <c r="S39" t="s">
        <v>2503</v>
      </c>
      <c r="V39">
        <v>0</v>
      </c>
    </row>
    <row r="40" spans="3:25" x14ac:dyDescent="0.4">
      <c r="C40" t="s">
        <v>3</v>
      </c>
      <c r="D40" t="s">
        <v>348</v>
      </c>
      <c r="E40" t="s">
        <v>945</v>
      </c>
      <c r="G40" t="s">
        <v>940</v>
      </c>
      <c r="H40" t="s">
        <v>40</v>
      </c>
      <c r="J40">
        <v>0</v>
      </c>
      <c r="K40">
        <v>0</v>
      </c>
      <c r="L40">
        <v>0</v>
      </c>
      <c r="M40">
        <v>0</v>
      </c>
      <c r="N40">
        <v>0</v>
      </c>
      <c r="S40" t="s">
        <v>2503</v>
      </c>
      <c r="V40">
        <v>0</v>
      </c>
    </row>
    <row r="41" spans="3:25" x14ac:dyDescent="0.4">
      <c r="C41" t="s">
        <v>3</v>
      </c>
      <c r="D41" t="s">
        <v>349</v>
      </c>
      <c r="E41" t="s">
        <v>946</v>
      </c>
      <c r="G41" t="s">
        <v>963</v>
      </c>
      <c r="H41" t="s">
        <v>37</v>
      </c>
      <c r="I41" t="s">
        <v>1497</v>
      </c>
      <c r="J41">
        <v>0</v>
      </c>
      <c r="K41">
        <v>0</v>
      </c>
      <c r="L41">
        <v>0</v>
      </c>
      <c r="M41">
        <v>0</v>
      </c>
      <c r="N41">
        <v>0</v>
      </c>
      <c r="S41" t="s">
        <v>2503</v>
      </c>
      <c r="V41">
        <v>0</v>
      </c>
    </row>
    <row r="42" spans="3:25" x14ac:dyDescent="0.4">
      <c r="C42" t="s">
        <v>4</v>
      </c>
      <c r="D42" t="s">
        <v>350</v>
      </c>
      <c r="E42" t="s">
        <v>947</v>
      </c>
      <c r="G42" t="s">
        <v>963</v>
      </c>
      <c r="H42" t="s">
        <v>37</v>
      </c>
      <c r="I42" t="s">
        <v>1498</v>
      </c>
      <c r="J42">
        <v>0</v>
      </c>
      <c r="K42">
        <v>0</v>
      </c>
      <c r="L42">
        <v>0</v>
      </c>
      <c r="M42">
        <v>0</v>
      </c>
      <c r="N42">
        <v>0</v>
      </c>
      <c r="S42" t="s">
        <v>2503</v>
      </c>
      <c r="V42">
        <v>0</v>
      </c>
      <c r="Y42" t="s">
        <v>100</v>
      </c>
    </row>
    <row r="43" spans="3:25" x14ac:dyDescent="0.4">
      <c r="C43" t="s">
        <v>3</v>
      </c>
      <c r="D43" t="s">
        <v>351</v>
      </c>
      <c r="E43" t="s">
        <v>948</v>
      </c>
      <c r="G43" t="s">
        <v>963</v>
      </c>
      <c r="H43" t="s">
        <v>37</v>
      </c>
      <c r="J43">
        <v>0</v>
      </c>
      <c r="K43">
        <v>0</v>
      </c>
      <c r="L43">
        <v>0</v>
      </c>
      <c r="M43">
        <v>0</v>
      </c>
      <c r="N43">
        <v>0</v>
      </c>
      <c r="S43" t="s">
        <v>2503</v>
      </c>
      <c r="V43">
        <v>0</v>
      </c>
    </row>
    <row r="44" spans="3:25" x14ac:dyDescent="0.4">
      <c r="C44" t="s">
        <v>3</v>
      </c>
      <c r="D44" t="s">
        <v>352</v>
      </c>
      <c r="E44" t="s">
        <v>949</v>
      </c>
      <c r="G44" t="s">
        <v>1423</v>
      </c>
      <c r="H44" t="s">
        <v>35</v>
      </c>
      <c r="J44">
        <v>0</v>
      </c>
      <c r="K44">
        <v>0</v>
      </c>
      <c r="L44">
        <v>0</v>
      </c>
      <c r="M44">
        <v>0</v>
      </c>
      <c r="N44">
        <v>0</v>
      </c>
      <c r="S44" t="s">
        <v>2503</v>
      </c>
      <c r="V44">
        <v>0</v>
      </c>
    </row>
    <row r="45" spans="3:25" x14ac:dyDescent="0.4">
      <c r="C45" t="s">
        <v>3</v>
      </c>
      <c r="D45" t="s">
        <v>353</v>
      </c>
      <c r="E45" t="s">
        <v>950</v>
      </c>
      <c r="G45" t="s">
        <v>963</v>
      </c>
      <c r="H45" t="s">
        <v>37</v>
      </c>
      <c r="I45" t="s">
        <v>1499</v>
      </c>
      <c r="J45">
        <v>0</v>
      </c>
      <c r="K45">
        <v>0</v>
      </c>
      <c r="L45">
        <v>0</v>
      </c>
      <c r="M45">
        <v>0</v>
      </c>
      <c r="N45">
        <v>0</v>
      </c>
      <c r="S45" t="s">
        <v>2503</v>
      </c>
      <c r="V45">
        <v>0</v>
      </c>
    </row>
    <row r="46" spans="3:25" x14ac:dyDescent="0.4">
      <c r="C46" t="s">
        <v>3</v>
      </c>
      <c r="D46" t="s">
        <v>354</v>
      </c>
      <c r="E46" t="s">
        <v>951</v>
      </c>
      <c r="G46" t="s">
        <v>1500</v>
      </c>
      <c r="H46" t="s">
        <v>37</v>
      </c>
      <c r="J46">
        <v>0</v>
      </c>
      <c r="K46">
        <v>0</v>
      </c>
      <c r="L46">
        <v>0</v>
      </c>
      <c r="M46">
        <v>0</v>
      </c>
      <c r="N46">
        <v>0</v>
      </c>
      <c r="S46" t="s">
        <v>2503</v>
      </c>
      <c r="V46">
        <v>0</v>
      </c>
    </row>
    <row r="47" spans="3:25" x14ac:dyDescent="0.4">
      <c r="C47" t="s">
        <v>3</v>
      </c>
      <c r="D47" t="s">
        <v>355</v>
      </c>
      <c r="E47" t="s">
        <v>952</v>
      </c>
      <c r="G47" t="s">
        <v>1501</v>
      </c>
      <c r="H47" t="s">
        <v>39</v>
      </c>
      <c r="J47">
        <v>0</v>
      </c>
      <c r="K47">
        <v>0</v>
      </c>
      <c r="L47">
        <v>0</v>
      </c>
      <c r="M47">
        <v>0</v>
      </c>
      <c r="N47">
        <v>0</v>
      </c>
      <c r="S47" t="s">
        <v>2503</v>
      </c>
      <c r="V47">
        <v>0</v>
      </c>
    </row>
    <row r="48" spans="3:25" x14ac:dyDescent="0.4">
      <c r="C48" t="s">
        <v>4</v>
      </c>
      <c r="D48" t="s">
        <v>356</v>
      </c>
      <c r="H48" t="s">
        <v>37</v>
      </c>
      <c r="J48">
        <v>0</v>
      </c>
      <c r="K48">
        <v>0</v>
      </c>
      <c r="L48">
        <v>0</v>
      </c>
      <c r="M48">
        <v>0</v>
      </c>
      <c r="N48">
        <v>0</v>
      </c>
      <c r="S48" t="s">
        <v>2503</v>
      </c>
      <c r="V48">
        <v>0</v>
      </c>
    </row>
    <row r="49" spans="3:22" x14ac:dyDescent="0.4">
      <c r="C49" t="s">
        <v>3</v>
      </c>
      <c r="D49" t="s">
        <v>357</v>
      </c>
      <c r="E49" t="s">
        <v>953</v>
      </c>
      <c r="H49" t="s">
        <v>69</v>
      </c>
      <c r="J49">
        <v>0</v>
      </c>
      <c r="K49">
        <v>0</v>
      </c>
      <c r="L49">
        <v>0</v>
      </c>
      <c r="M49">
        <v>0</v>
      </c>
      <c r="N49">
        <v>0</v>
      </c>
      <c r="S49" t="s">
        <v>2503</v>
      </c>
      <c r="V49">
        <v>0</v>
      </c>
    </row>
    <row r="50" spans="3:22" x14ac:dyDescent="0.4">
      <c r="C50" t="s">
        <v>3</v>
      </c>
      <c r="D50" t="s">
        <v>358</v>
      </c>
      <c r="E50" t="s">
        <v>954</v>
      </c>
      <c r="G50" t="s">
        <v>963</v>
      </c>
      <c r="H50" t="s">
        <v>37</v>
      </c>
      <c r="J50">
        <v>0</v>
      </c>
      <c r="K50">
        <v>0</v>
      </c>
      <c r="L50">
        <v>0</v>
      </c>
      <c r="M50">
        <v>0</v>
      </c>
      <c r="N50">
        <v>0</v>
      </c>
      <c r="S50" t="s">
        <v>2503</v>
      </c>
      <c r="V50">
        <v>0</v>
      </c>
    </row>
    <row r="51" spans="3:22" x14ac:dyDescent="0.4">
      <c r="C51" t="s">
        <v>4</v>
      </c>
      <c r="D51" t="s">
        <v>359</v>
      </c>
      <c r="G51" t="s">
        <v>1417</v>
      </c>
      <c r="H51" t="s">
        <v>35</v>
      </c>
      <c r="J51">
        <v>0</v>
      </c>
      <c r="K51">
        <v>0</v>
      </c>
      <c r="L51">
        <v>0</v>
      </c>
      <c r="M51">
        <v>0</v>
      </c>
      <c r="N51">
        <v>0</v>
      </c>
      <c r="S51" t="s">
        <v>2503</v>
      </c>
      <c r="V51">
        <v>0</v>
      </c>
    </row>
    <row r="52" spans="3:22" x14ac:dyDescent="0.4">
      <c r="C52" t="s">
        <v>3</v>
      </c>
      <c r="D52" t="s">
        <v>360</v>
      </c>
      <c r="E52" t="s">
        <v>955</v>
      </c>
      <c r="G52" t="s">
        <v>1423</v>
      </c>
      <c r="H52" t="s">
        <v>35</v>
      </c>
      <c r="J52">
        <v>0</v>
      </c>
      <c r="K52">
        <v>0</v>
      </c>
      <c r="L52">
        <v>0</v>
      </c>
      <c r="M52">
        <v>0</v>
      </c>
      <c r="N52">
        <v>0</v>
      </c>
      <c r="S52" t="s">
        <v>2503</v>
      </c>
      <c r="V52">
        <v>0</v>
      </c>
    </row>
    <row r="53" spans="3:22" x14ac:dyDescent="0.4">
      <c r="C53" t="s">
        <v>4</v>
      </c>
      <c r="D53" t="s">
        <v>361</v>
      </c>
      <c r="E53" t="s">
        <v>956</v>
      </c>
      <c r="G53" t="s">
        <v>1502</v>
      </c>
      <c r="H53" t="s">
        <v>39</v>
      </c>
      <c r="J53">
        <v>0</v>
      </c>
      <c r="K53">
        <v>0</v>
      </c>
      <c r="L53">
        <v>0</v>
      </c>
      <c r="M53">
        <v>0</v>
      </c>
      <c r="N53">
        <v>0</v>
      </c>
      <c r="S53" t="s">
        <v>2503</v>
      </c>
      <c r="V53">
        <v>0</v>
      </c>
    </row>
    <row r="54" spans="3:22" x14ac:dyDescent="0.4">
      <c r="C54" t="s">
        <v>4</v>
      </c>
      <c r="D54" t="s">
        <v>362</v>
      </c>
      <c r="E54" t="s">
        <v>957</v>
      </c>
      <c r="G54" t="s">
        <v>1423</v>
      </c>
      <c r="H54" t="s">
        <v>35</v>
      </c>
      <c r="J54">
        <v>0</v>
      </c>
      <c r="K54">
        <v>0</v>
      </c>
      <c r="L54">
        <v>0</v>
      </c>
      <c r="M54">
        <v>0</v>
      </c>
      <c r="N54">
        <v>0</v>
      </c>
      <c r="S54" t="s">
        <v>2506</v>
      </c>
      <c r="V54">
        <v>0</v>
      </c>
    </row>
    <row r="55" spans="3:22" x14ac:dyDescent="0.4">
      <c r="C55" t="s">
        <v>3</v>
      </c>
      <c r="D55" t="s">
        <v>363</v>
      </c>
      <c r="E55" t="s">
        <v>958</v>
      </c>
      <c r="G55" t="s">
        <v>1423</v>
      </c>
      <c r="H55" t="s">
        <v>35</v>
      </c>
      <c r="I55" t="s">
        <v>1503</v>
      </c>
      <c r="J55">
        <v>0</v>
      </c>
      <c r="K55">
        <v>0</v>
      </c>
      <c r="L55">
        <v>0</v>
      </c>
      <c r="M55">
        <v>0</v>
      </c>
      <c r="N55">
        <v>0</v>
      </c>
      <c r="S55" t="s">
        <v>2503</v>
      </c>
      <c r="V55">
        <v>0</v>
      </c>
    </row>
    <row r="56" spans="3:22" x14ac:dyDescent="0.4">
      <c r="C56" t="s">
        <v>3</v>
      </c>
      <c r="D56" t="s">
        <v>364</v>
      </c>
      <c r="E56" t="s">
        <v>959</v>
      </c>
      <c r="G56" t="s">
        <v>1504</v>
      </c>
      <c r="H56" t="s">
        <v>39</v>
      </c>
      <c r="J56">
        <v>0</v>
      </c>
      <c r="K56">
        <v>0</v>
      </c>
      <c r="L56">
        <v>0</v>
      </c>
      <c r="M56">
        <v>0</v>
      </c>
      <c r="N56">
        <v>0</v>
      </c>
      <c r="S56" t="s">
        <v>2503</v>
      </c>
      <c r="V56">
        <v>0</v>
      </c>
    </row>
    <row r="57" spans="3:22" x14ac:dyDescent="0.4">
      <c r="C57" t="s">
        <v>3</v>
      </c>
      <c r="D57" t="s">
        <v>365</v>
      </c>
      <c r="E57" t="s">
        <v>960</v>
      </c>
      <c r="G57" t="s">
        <v>960</v>
      </c>
      <c r="H57" t="s">
        <v>39</v>
      </c>
      <c r="J57">
        <v>0</v>
      </c>
      <c r="K57">
        <v>0</v>
      </c>
      <c r="L57">
        <v>0</v>
      </c>
      <c r="M57">
        <v>0</v>
      </c>
      <c r="N57">
        <v>0</v>
      </c>
      <c r="S57" t="s">
        <v>2503</v>
      </c>
      <c r="V57">
        <v>0</v>
      </c>
    </row>
    <row r="58" spans="3:22" x14ac:dyDescent="0.4">
      <c r="C58" t="s">
        <v>4</v>
      </c>
      <c r="D58" t="s">
        <v>366</v>
      </c>
      <c r="E58" t="s">
        <v>961</v>
      </c>
      <c r="G58" t="s">
        <v>1417</v>
      </c>
      <c r="H58" t="s">
        <v>35</v>
      </c>
      <c r="I58" t="s">
        <v>1505</v>
      </c>
      <c r="J58">
        <v>0</v>
      </c>
      <c r="K58">
        <v>0</v>
      </c>
      <c r="L58">
        <v>0</v>
      </c>
      <c r="M58">
        <v>0</v>
      </c>
      <c r="N58">
        <v>0</v>
      </c>
      <c r="S58" t="s">
        <v>2503</v>
      </c>
      <c r="V58">
        <v>0</v>
      </c>
    </row>
    <row r="59" spans="3:22" x14ac:dyDescent="0.4">
      <c r="C59" t="s">
        <v>3</v>
      </c>
      <c r="D59" t="s">
        <v>367</v>
      </c>
      <c r="E59" t="s">
        <v>962</v>
      </c>
      <c r="G59" t="s">
        <v>1417</v>
      </c>
      <c r="H59" t="s">
        <v>35</v>
      </c>
      <c r="J59">
        <v>0</v>
      </c>
      <c r="K59">
        <v>0</v>
      </c>
      <c r="L59">
        <v>0</v>
      </c>
      <c r="M59">
        <v>0</v>
      </c>
      <c r="N59">
        <v>0</v>
      </c>
      <c r="S59" t="s">
        <v>2503</v>
      </c>
      <c r="V59">
        <v>0</v>
      </c>
    </row>
    <row r="60" spans="3:22" x14ac:dyDescent="0.4">
      <c r="C60" t="s">
        <v>3</v>
      </c>
      <c r="D60" t="s">
        <v>368</v>
      </c>
      <c r="E60" t="s">
        <v>934</v>
      </c>
      <c r="G60" t="s">
        <v>963</v>
      </c>
      <c r="H60" t="s">
        <v>37</v>
      </c>
      <c r="I60" t="s">
        <v>1506</v>
      </c>
      <c r="J60">
        <v>0</v>
      </c>
      <c r="K60">
        <v>0</v>
      </c>
      <c r="L60">
        <v>0</v>
      </c>
      <c r="M60">
        <v>0</v>
      </c>
      <c r="N60">
        <v>0</v>
      </c>
      <c r="S60" t="s">
        <v>2503</v>
      </c>
      <c r="V60">
        <v>0</v>
      </c>
    </row>
    <row r="61" spans="3:22" x14ac:dyDescent="0.4">
      <c r="C61" t="s">
        <v>4</v>
      </c>
      <c r="D61" t="s">
        <v>369</v>
      </c>
      <c r="E61" t="s">
        <v>963</v>
      </c>
      <c r="G61" t="s">
        <v>963</v>
      </c>
      <c r="H61" t="s">
        <v>37</v>
      </c>
      <c r="J61">
        <v>0</v>
      </c>
      <c r="K61">
        <v>0</v>
      </c>
      <c r="L61">
        <v>0</v>
      </c>
      <c r="M61">
        <v>0</v>
      </c>
      <c r="N61">
        <v>0</v>
      </c>
      <c r="S61" t="s">
        <v>2503</v>
      </c>
      <c r="V61">
        <v>0</v>
      </c>
    </row>
    <row r="62" spans="3:22" x14ac:dyDescent="0.4">
      <c r="C62" t="s">
        <v>3</v>
      </c>
      <c r="D62" t="s">
        <v>370</v>
      </c>
      <c r="E62" t="s">
        <v>964</v>
      </c>
      <c r="G62" t="s">
        <v>940</v>
      </c>
      <c r="H62" t="s">
        <v>40</v>
      </c>
      <c r="I62" t="s">
        <v>1507</v>
      </c>
      <c r="J62">
        <v>0</v>
      </c>
      <c r="K62">
        <v>0</v>
      </c>
      <c r="L62">
        <v>0</v>
      </c>
      <c r="M62">
        <v>0</v>
      </c>
      <c r="N62">
        <v>0</v>
      </c>
      <c r="S62" t="s">
        <v>2503</v>
      </c>
      <c r="V62">
        <v>0</v>
      </c>
    </row>
    <row r="63" spans="3:22" x14ac:dyDescent="0.4">
      <c r="C63" t="s">
        <v>3</v>
      </c>
      <c r="D63" t="s">
        <v>371</v>
      </c>
      <c r="G63" t="s">
        <v>940</v>
      </c>
      <c r="H63" t="s">
        <v>40</v>
      </c>
      <c r="J63">
        <v>0</v>
      </c>
      <c r="K63">
        <v>0</v>
      </c>
      <c r="L63">
        <v>0</v>
      </c>
      <c r="M63">
        <v>0</v>
      </c>
      <c r="N63">
        <v>0</v>
      </c>
      <c r="S63" t="s">
        <v>2503</v>
      </c>
      <c r="V63">
        <v>0</v>
      </c>
    </row>
    <row r="64" spans="3:22" x14ac:dyDescent="0.4">
      <c r="C64" t="s">
        <v>4</v>
      </c>
      <c r="D64" t="s">
        <v>372</v>
      </c>
      <c r="E64" t="s">
        <v>965</v>
      </c>
      <c r="G64" t="s">
        <v>940</v>
      </c>
      <c r="H64" t="s">
        <v>40</v>
      </c>
      <c r="J64">
        <v>0</v>
      </c>
      <c r="K64">
        <v>0</v>
      </c>
      <c r="L64">
        <v>0</v>
      </c>
      <c r="M64">
        <v>0</v>
      </c>
      <c r="N64">
        <v>0</v>
      </c>
      <c r="S64" t="s">
        <v>2503</v>
      </c>
      <c r="V64">
        <v>0</v>
      </c>
    </row>
    <row r="65" spans="3:22" x14ac:dyDescent="0.4">
      <c r="C65" t="s">
        <v>3</v>
      </c>
      <c r="D65" t="s">
        <v>373</v>
      </c>
      <c r="E65" t="s">
        <v>966</v>
      </c>
      <c r="G65" t="s">
        <v>966</v>
      </c>
      <c r="H65" t="s">
        <v>38</v>
      </c>
      <c r="J65">
        <v>0</v>
      </c>
      <c r="K65">
        <v>0</v>
      </c>
      <c r="L65">
        <v>0</v>
      </c>
      <c r="M65">
        <v>0</v>
      </c>
      <c r="N65">
        <v>0</v>
      </c>
      <c r="S65" t="s">
        <v>2503</v>
      </c>
      <c r="V65">
        <v>0</v>
      </c>
    </row>
    <row r="66" spans="3:22" x14ac:dyDescent="0.4">
      <c r="C66" t="s">
        <v>3</v>
      </c>
      <c r="D66" t="s">
        <v>374</v>
      </c>
      <c r="E66" t="s">
        <v>967</v>
      </c>
      <c r="G66" t="s">
        <v>967</v>
      </c>
      <c r="H66" t="s">
        <v>37</v>
      </c>
      <c r="J66">
        <v>0</v>
      </c>
      <c r="K66">
        <v>0</v>
      </c>
      <c r="L66">
        <v>0</v>
      </c>
      <c r="M66">
        <v>0</v>
      </c>
      <c r="N66">
        <v>0</v>
      </c>
      <c r="S66" t="s">
        <v>2503</v>
      </c>
      <c r="V66">
        <v>0</v>
      </c>
    </row>
    <row r="67" spans="3:22" x14ac:dyDescent="0.4">
      <c r="C67" t="s">
        <v>4</v>
      </c>
      <c r="D67" t="s">
        <v>375</v>
      </c>
      <c r="E67" t="s">
        <v>968</v>
      </c>
      <c r="G67" t="s">
        <v>1508</v>
      </c>
      <c r="H67" t="s">
        <v>35</v>
      </c>
      <c r="I67" t="s">
        <v>1509</v>
      </c>
      <c r="J67">
        <v>0</v>
      </c>
      <c r="K67">
        <v>0</v>
      </c>
      <c r="L67">
        <v>0</v>
      </c>
      <c r="M67">
        <v>0</v>
      </c>
      <c r="N67">
        <v>0</v>
      </c>
      <c r="S67" t="s">
        <v>2503</v>
      </c>
      <c r="V67">
        <v>0</v>
      </c>
    </row>
    <row r="68" spans="3:22" x14ac:dyDescent="0.4">
      <c r="C68" t="s">
        <v>3</v>
      </c>
      <c r="D68" t="s">
        <v>376</v>
      </c>
      <c r="G68" t="s">
        <v>1423</v>
      </c>
      <c r="H68" t="s">
        <v>35</v>
      </c>
      <c r="J68">
        <v>0</v>
      </c>
      <c r="K68">
        <v>0</v>
      </c>
      <c r="L68">
        <v>0</v>
      </c>
      <c r="M68">
        <v>0</v>
      </c>
      <c r="N68">
        <v>0</v>
      </c>
      <c r="S68" t="s">
        <v>2503</v>
      </c>
      <c r="V68">
        <v>0</v>
      </c>
    </row>
    <row r="69" spans="3:22" x14ac:dyDescent="0.4">
      <c r="C69" t="s">
        <v>3</v>
      </c>
      <c r="D69" t="s">
        <v>377</v>
      </c>
      <c r="E69" t="s">
        <v>969</v>
      </c>
      <c r="G69" t="s">
        <v>969</v>
      </c>
      <c r="H69" t="s">
        <v>37</v>
      </c>
      <c r="J69">
        <v>0</v>
      </c>
      <c r="K69">
        <v>0</v>
      </c>
      <c r="L69">
        <v>0</v>
      </c>
      <c r="M69">
        <v>0</v>
      </c>
      <c r="N69">
        <v>0</v>
      </c>
      <c r="S69" t="s">
        <v>2503</v>
      </c>
      <c r="V69">
        <v>0</v>
      </c>
    </row>
    <row r="70" spans="3:22" x14ac:dyDescent="0.4">
      <c r="C70" t="s">
        <v>4</v>
      </c>
      <c r="D70" t="s">
        <v>378</v>
      </c>
      <c r="E70" t="s">
        <v>970</v>
      </c>
      <c r="G70" t="s">
        <v>1510</v>
      </c>
      <c r="H70" t="s">
        <v>37</v>
      </c>
      <c r="I70" t="s">
        <v>1511</v>
      </c>
      <c r="J70">
        <v>0</v>
      </c>
      <c r="K70">
        <v>0</v>
      </c>
      <c r="L70">
        <v>0</v>
      </c>
      <c r="M70">
        <v>0</v>
      </c>
      <c r="N70">
        <v>0</v>
      </c>
      <c r="S70" t="s">
        <v>2503</v>
      </c>
      <c r="V70">
        <v>0</v>
      </c>
    </row>
    <row r="71" spans="3:22" x14ac:dyDescent="0.4">
      <c r="C71" t="s">
        <v>4</v>
      </c>
      <c r="D71" t="s">
        <v>379</v>
      </c>
      <c r="E71" t="s">
        <v>971</v>
      </c>
      <c r="G71" t="s">
        <v>1154</v>
      </c>
      <c r="H71" t="s">
        <v>37</v>
      </c>
      <c r="J71">
        <v>0</v>
      </c>
      <c r="K71">
        <v>0</v>
      </c>
      <c r="L71">
        <v>0</v>
      </c>
      <c r="M71">
        <v>0</v>
      </c>
      <c r="N71">
        <v>0</v>
      </c>
      <c r="S71" t="s">
        <v>2505</v>
      </c>
      <c r="V71" t="s">
        <v>2517</v>
      </c>
    </row>
    <row r="72" spans="3:22" x14ac:dyDescent="0.4">
      <c r="C72" t="s">
        <v>3</v>
      </c>
      <c r="D72" t="s">
        <v>380</v>
      </c>
      <c r="E72" t="s">
        <v>972</v>
      </c>
      <c r="G72" t="s">
        <v>1423</v>
      </c>
      <c r="H72" t="s">
        <v>35</v>
      </c>
      <c r="I72" t="s">
        <v>1512</v>
      </c>
      <c r="J72">
        <v>0</v>
      </c>
      <c r="K72">
        <v>0</v>
      </c>
      <c r="L72">
        <v>0</v>
      </c>
      <c r="M72">
        <v>0</v>
      </c>
      <c r="N72">
        <v>0</v>
      </c>
      <c r="S72" t="s">
        <v>2503</v>
      </c>
      <c r="V72">
        <v>0</v>
      </c>
    </row>
    <row r="73" spans="3:22" x14ac:dyDescent="0.4">
      <c r="C73" t="s">
        <v>3</v>
      </c>
      <c r="D73" t="s">
        <v>381</v>
      </c>
      <c r="E73" t="s">
        <v>973</v>
      </c>
      <c r="H73" t="s">
        <v>39</v>
      </c>
      <c r="J73">
        <v>0</v>
      </c>
      <c r="K73">
        <v>0</v>
      </c>
      <c r="L73">
        <v>0</v>
      </c>
      <c r="M73">
        <v>0</v>
      </c>
      <c r="N73">
        <v>0</v>
      </c>
      <c r="S73" t="s">
        <v>2503</v>
      </c>
      <c r="V73">
        <v>0</v>
      </c>
    </row>
    <row r="74" spans="3:22" x14ac:dyDescent="0.4">
      <c r="C74" t="s">
        <v>3</v>
      </c>
      <c r="D74" t="s">
        <v>382</v>
      </c>
      <c r="E74" t="s">
        <v>974</v>
      </c>
      <c r="G74" t="s">
        <v>1488</v>
      </c>
      <c r="H74" t="s">
        <v>42</v>
      </c>
      <c r="J74">
        <v>0</v>
      </c>
      <c r="K74">
        <v>0</v>
      </c>
      <c r="L74">
        <v>0</v>
      </c>
      <c r="M74">
        <v>0</v>
      </c>
      <c r="N74">
        <v>0</v>
      </c>
      <c r="S74" t="s">
        <v>2503</v>
      </c>
      <c r="V74">
        <v>0</v>
      </c>
    </row>
    <row r="75" spans="3:22" x14ac:dyDescent="0.4">
      <c r="C75" t="s">
        <v>4</v>
      </c>
      <c r="D75" t="s">
        <v>383</v>
      </c>
      <c r="E75" t="s">
        <v>975</v>
      </c>
      <c r="F75" t="s">
        <v>1454</v>
      </c>
      <c r="G75" t="s">
        <v>1488</v>
      </c>
      <c r="H75" t="s">
        <v>42</v>
      </c>
      <c r="J75" t="s">
        <v>1937</v>
      </c>
      <c r="K75">
        <v>0</v>
      </c>
      <c r="L75">
        <v>0</v>
      </c>
      <c r="M75">
        <v>0</v>
      </c>
      <c r="N75">
        <v>0</v>
      </c>
      <c r="S75" t="s">
        <v>2503</v>
      </c>
      <c r="V75">
        <v>0</v>
      </c>
    </row>
    <row r="76" spans="3:22" x14ac:dyDescent="0.4">
      <c r="C76" t="s">
        <v>3</v>
      </c>
      <c r="D76" t="s">
        <v>384</v>
      </c>
      <c r="E76" t="s">
        <v>976</v>
      </c>
      <c r="G76" t="s">
        <v>963</v>
      </c>
      <c r="H76" t="s">
        <v>37</v>
      </c>
      <c r="I76" t="s">
        <v>1513</v>
      </c>
      <c r="J76">
        <v>0</v>
      </c>
      <c r="K76">
        <v>0</v>
      </c>
      <c r="L76">
        <v>0</v>
      </c>
      <c r="M76">
        <v>0</v>
      </c>
      <c r="N76">
        <v>0</v>
      </c>
      <c r="S76" t="s">
        <v>2503</v>
      </c>
      <c r="V76">
        <v>0</v>
      </c>
    </row>
    <row r="77" spans="3:22" x14ac:dyDescent="0.4">
      <c r="C77" t="s">
        <v>3</v>
      </c>
      <c r="D77" t="s">
        <v>385</v>
      </c>
      <c r="E77" t="s">
        <v>963</v>
      </c>
      <c r="G77" t="s">
        <v>963</v>
      </c>
      <c r="H77" t="s">
        <v>37</v>
      </c>
      <c r="I77" t="s">
        <v>1514</v>
      </c>
      <c r="J77">
        <v>0</v>
      </c>
      <c r="K77">
        <v>0</v>
      </c>
      <c r="L77">
        <v>0</v>
      </c>
      <c r="M77">
        <v>0</v>
      </c>
      <c r="N77">
        <v>0</v>
      </c>
      <c r="S77" t="s">
        <v>2503</v>
      </c>
      <c r="V77">
        <v>0</v>
      </c>
    </row>
    <row r="78" spans="3:22" x14ac:dyDescent="0.4">
      <c r="C78" t="s">
        <v>4</v>
      </c>
      <c r="D78" t="s">
        <v>386</v>
      </c>
      <c r="G78" t="s">
        <v>1423</v>
      </c>
      <c r="H78" t="s">
        <v>35</v>
      </c>
      <c r="I78" t="s">
        <v>1515</v>
      </c>
      <c r="J78">
        <v>0</v>
      </c>
      <c r="K78">
        <v>0</v>
      </c>
      <c r="L78">
        <v>0</v>
      </c>
      <c r="M78">
        <v>0</v>
      </c>
      <c r="N78">
        <v>0</v>
      </c>
      <c r="S78" t="s">
        <v>2503</v>
      </c>
      <c r="V78">
        <v>0</v>
      </c>
    </row>
    <row r="79" spans="3:22" x14ac:dyDescent="0.4">
      <c r="C79" t="s">
        <v>3</v>
      </c>
      <c r="D79" t="s">
        <v>387</v>
      </c>
      <c r="H79" t="s">
        <v>35</v>
      </c>
      <c r="J79">
        <v>0</v>
      </c>
      <c r="K79">
        <v>0</v>
      </c>
      <c r="L79">
        <v>0</v>
      </c>
      <c r="M79">
        <v>0</v>
      </c>
      <c r="N79">
        <v>0</v>
      </c>
      <c r="S79" t="s">
        <v>2503</v>
      </c>
      <c r="V79">
        <v>0</v>
      </c>
    </row>
    <row r="80" spans="3:22" x14ac:dyDescent="0.4">
      <c r="C80" t="s">
        <v>3</v>
      </c>
      <c r="D80" t="s">
        <v>388</v>
      </c>
      <c r="E80" t="s">
        <v>977</v>
      </c>
      <c r="G80" t="s">
        <v>966</v>
      </c>
      <c r="H80" t="s">
        <v>38</v>
      </c>
      <c r="J80">
        <v>0</v>
      </c>
      <c r="K80">
        <v>0</v>
      </c>
      <c r="L80">
        <v>0</v>
      </c>
      <c r="M80">
        <v>0</v>
      </c>
      <c r="N80">
        <v>0</v>
      </c>
      <c r="S80" t="s">
        <v>2503</v>
      </c>
      <c r="V80">
        <v>0</v>
      </c>
    </row>
    <row r="81" spans="3:24" x14ac:dyDescent="0.4">
      <c r="C81" t="s">
        <v>3</v>
      </c>
      <c r="D81" t="s">
        <v>389</v>
      </c>
      <c r="E81" t="s">
        <v>978</v>
      </c>
      <c r="G81" t="s">
        <v>963</v>
      </c>
      <c r="H81" t="s">
        <v>37</v>
      </c>
      <c r="J81">
        <v>0</v>
      </c>
      <c r="K81">
        <v>0</v>
      </c>
      <c r="L81">
        <v>0</v>
      </c>
      <c r="M81">
        <v>0</v>
      </c>
      <c r="N81">
        <v>0</v>
      </c>
      <c r="S81" t="s">
        <v>2503</v>
      </c>
      <c r="V81">
        <v>0</v>
      </c>
    </row>
    <row r="82" spans="3:24" x14ac:dyDescent="0.4">
      <c r="C82" t="s">
        <v>3</v>
      </c>
      <c r="D82" t="s">
        <v>390</v>
      </c>
      <c r="E82" t="s">
        <v>979</v>
      </c>
      <c r="G82" t="s">
        <v>1417</v>
      </c>
      <c r="H82" t="s">
        <v>35</v>
      </c>
      <c r="J82">
        <v>0</v>
      </c>
      <c r="K82">
        <v>0</v>
      </c>
      <c r="L82">
        <v>0</v>
      </c>
      <c r="M82">
        <v>0</v>
      </c>
      <c r="N82">
        <v>0</v>
      </c>
      <c r="S82" t="s">
        <v>2503</v>
      </c>
      <c r="V82">
        <v>0</v>
      </c>
    </row>
    <row r="83" spans="3:24" x14ac:dyDescent="0.4">
      <c r="C83" t="s">
        <v>3</v>
      </c>
      <c r="D83" t="s">
        <v>391</v>
      </c>
      <c r="E83" t="s">
        <v>980</v>
      </c>
      <c r="G83" t="s">
        <v>54</v>
      </c>
      <c r="H83" t="s">
        <v>40</v>
      </c>
      <c r="J83">
        <v>0</v>
      </c>
      <c r="K83">
        <v>0</v>
      </c>
      <c r="L83">
        <v>0</v>
      </c>
      <c r="M83">
        <v>0</v>
      </c>
      <c r="N83">
        <v>0</v>
      </c>
      <c r="S83" t="s">
        <v>2503</v>
      </c>
      <c r="V83">
        <v>0</v>
      </c>
    </row>
    <row r="84" spans="3:24" x14ac:dyDescent="0.4">
      <c r="C84" t="s">
        <v>4</v>
      </c>
      <c r="D84" t="s">
        <v>392</v>
      </c>
      <c r="E84" t="s">
        <v>981</v>
      </c>
      <c r="G84" t="s">
        <v>1423</v>
      </c>
      <c r="H84" t="s">
        <v>35</v>
      </c>
      <c r="I84" t="s">
        <v>1516</v>
      </c>
      <c r="J84">
        <v>0</v>
      </c>
      <c r="K84">
        <v>0</v>
      </c>
      <c r="L84">
        <v>0</v>
      </c>
      <c r="M84">
        <v>0</v>
      </c>
      <c r="N84">
        <v>0</v>
      </c>
      <c r="S84" t="s">
        <v>2505</v>
      </c>
      <c r="V84">
        <v>0</v>
      </c>
    </row>
    <row r="85" spans="3:24" x14ac:dyDescent="0.4">
      <c r="C85" t="s">
        <v>3</v>
      </c>
      <c r="D85" t="s">
        <v>393</v>
      </c>
      <c r="E85" t="s">
        <v>982</v>
      </c>
      <c r="G85" t="s">
        <v>963</v>
      </c>
      <c r="H85" t="s">
        <v>37</v>
      </c>
      <c r="I85" t="s">
        <v>1517</v>
      </c>
      <c r="J85" t="s">
        <v>1938</v>
      </c>
      <c r="K85">
        <v>0</v>
      </c>
      <c r="L85">
        <v>0</v>
      </c>
      <c r="M85">
        <v>0</v>
      </c>
      <c r="N85">
        <v>0</v>
      </c>
      <c r="S85" t="s">
        <v>2503</v>
      </c>
      <c r="V85">
        <v>0</v>
      </c>
    </row>
    <row r="86" spans="3:24" x14ac:dyDescent="0.4">
      <c r="C86" t="s">
        <v>3</v>
      </c>
      <c r="D86" t="s">
        <v>394</v>
      </c>
      <c r="E86" t="s">
        <v>983</v>
      </c>
      <c r="G86" t="s">
        <v>1423</v>
      </c>
      <c r="H86" t="s">
        <v>35</v>
      </c>
      <c r="I86" t="s">
        <v>1518</v>
      </c>
      <c r="J86">
        <v>0</v>
      </c>
      <c r="K86">
        <v>0</v>
      </c>
      <c r="L86">
        <v>0</v>
      </c>
      <c r="M86">
        <v>0</v>
      </c>
      <c r="N86">
        <v>0</v>
      </c>
      <c r="S86" t="s">
        <v>2503</v>
      </c>
      <c r="V86">
        <v>0</v>
      </c>
    </row>
    <row r="87" spans="3:24" x14ac:dyDescent="0.4">
      <c r="C87" t="s">
        <v>3</v>
      </c>
      <c r="D87" t="s">
        <v>395</v>
      </c>
      <c r="E87" t="s">
        <v>984</v>
      </c>
      <c r="G87" t="s">
        <v>1423</v>
      </c>
      <c r="H87" t="s">
        <v>35</v>
      </c>
      <c r="I87" t="s">
        <v>1519</v>
      </c>
      <c r="J87">
        <v>0</v>
      </c>
      <c r="K87">
        <v>0</v>
      </c>
      <c r="L87">
        <v>0</v>
      </c>
      <c r="M87">
        <v>0</v>
      </c>
      <c r="N87">
        <v>0</v>
      </c>
      <c r="S87" t="s">
        <v>2503</v>
      </c>
      <c r="V87">
        <v>0</v>
      </c>
    </row>
    <row r="88" spans="3:24" x14ac:dyDescent="0.4">
      <c r="C88" t="s">
        <v>3</v>
      </c>
      <c r="D88" t="s">
        <v>396</v>
      </c>
      <c r="E88" t="s">
        <v>985</v>
      </c>
      <c r="G88" t="s">
        <v>963</v>
      </c>
      <c r="H88" t="s">
        <v>37</v>
      </c>
      <c r="I88" t="s">
        <v>1520</v>
      </c>
      <c r="J88">
        <v>0</v>
      </c>
      <c r="K88">
        <v>0</v>
      </c>
      <c r="L88">
        <v>0</v>
      </c>
      <c r="M88">
        <v>0</v>
      </c>
      <c r="N88">
        <v>0</v>
      </c>
      <c r="S88" t="s">
        <v>2503</v>
      </c>
      <c r="V88">
        <v>0</v>
      </c>
    </row>
    <row r="89" spans="3:24" x14ac:dyDescent="0.4">
      <c r="C89" t="s">
        <v>3</v>
      </c>
      <c r="D89" t="s">
        <v>397</v>
      </c>
      <c r="E89" t="s">
        <v>986</v>
      </c>
      <c r="G89" t="s">
        <v>940</v>
      </c>
      <c r="H89" t="s">
        <v>40</v>
      </c>
      <c r="I89" t="s">
        <v>1521</v>
      </c>
      <c r="J89">
        <v>0</v>
      </c>
      <c r="K89">
        <v>0</v>
      </c>
      <c r="L89">
        <v>0</v>
      </c>
      <c r="M89">
        <v>0</v>
      </c>
      <c r="N89">
        <v>0</v>
      </c>
      <c r="S89" t="s">
        <v>2503</v>
      </c>
      <c r="V89">
        <v>0</v>
      </c>
    </row>
    <row r="90" spans="3:24" x14ac:dyDescent="0.4">
      <c r="C90" t="s">
        <v>4</v>
      </c>
      <c r="D90" t="s">
        <v>398</v>
      </c>
      <c r="E90" t="s">
        <v>987</v>
      </c>
      <c r="G90" t="s">
        <v>963</v>
      </c>
      <c r="H90" t="s">
        <v>37</v>
      </c>
      <c r="J90">
        <v>0</v>
      </c>
      <c r="K90">
        <v>0</v>
      </c>
      <c r="L90">
        <v>0</v>
      </c>
      <c r="M90">
        <v>0</v>
      </c>
      <c r="N90">
        <v>0</v>
      </c>
      <c r="S90" t="s">
        <v>2503</v>
      </c>
      <c r="V90">
        <v>0</v>
      </c>
    </row>
    <row r="91" spans="3:24" x14ac:dyDescent="0.4">
      <c r="C91" t="s">
        <v>4</v>
      </c>
      <c r="D91" t="s">
        <v>399</v>
      </c>
      <c r="E91" t="s">
        <v>37</v>
      </c>
      <c r="H91" t="s">
        <v>37</v>
      </c>
      <c r="J91">
        <v>0</v>
      </c>
      <c r="K91">
        <v>0</v>
      </c>
      <c r="L91">
        <v>0</v>
      </c>
      <c r="M91">
        <v>0</v>
      </c>
      <c r="N91">
        <v>0</v>
      </c>
      <c r="S91" t="s">
        <v>2503</v>
      </c>
      <c r="V91">
        <v>0</v>
      </c>
      <c r="X91" s="4">
        <v>0</v>
      </c>
    </row>
    <row r="92" spans="3:24" x14ac:dyDescent="0.4">
      <c r="C92" t="s">
        <v>4</v>
      </c>
      <c r="D92" t="s">
        <v>400</v>
      </c>
      <c r="E92" t="s">
        <v>988</v>
      </c>
      <c r="G92" t="s">
        <v>1154</v>
      </c>
      <c r="H92" t="s">
        <v>37</v>
      </c>
      <c r="J92">
        <v>0</v>
      </c>
      <c r="K92">
        <v>0</v>
      </c>
      <c r="L92">
        <v>0</v>
      </c>
      <c r="M92">
        <v>0</v>
      </c>
      <c r="N92">
        <v>0</v>
      </c>
      <c r="S92" t="s">
        <v>2505</v>
      </c>
      <c r="V92">
        <v>0</v>
      </c>
      <c r="X92" s="4">
        <v>500000</v>
      </c>
    </row>
    <row r="93" spans="3:24" x14ac:dyDescent="0.4">
      <c r="C93" t="s">
        <v>4</v>
      </c>
      <c r="D93" t="s">
        <v>401</v>
      </c>
      <c r="E93" t="s">
        <v>963</v>
      </c>
      <c r="G93" t="s">
        <v>963</v>
      </c>
      <c r="H93" t="s">
        <v>1522</v>
      </c>
      <c r="J93">
        <v>0</v>
      </c>
      <c r="K93">
        <v>0</v>
      </c>
      <c r="L93">
        <v>0</v>
      </c>
      <c r="M93">
        <v>0</v>
      </c>
      <c r="N93">
        <v>0</v>
      </c>
      <c r="S93" t="s">
        <v>2503</v>
      </c>
      <c r="V93">
        <v>0</v>
      </c>
      <c r="X93" s="4">
        <v>0</v>
      </c>
    </row>
    <row r="94" spans="3:24" x14ac:dyDescent="0.4">
      <c r="C94" t="s">
        <v>4</v>
      </c>
      <c r="D94" t="s">
        <v>402</v>
      </c>
      <c r="E94" t="s">
        <v>989</v>
      </c>
      <c r="G94" t="s">
        <v>1423</v>
      </c>
      <c r="H94" t="s">
        <v>35</v>
      </c>
      <c r="J94">
        <v>0</v>
      </c>
      <c r="K94">
        <v>0</v>
      </c>
      <c r="L94">
        <v>0</v>
      </c>
      <c r="M94">
        <v>0</v>
      </c>
      <c r="N94">
        <v>0</v>
      </c>
      <c r="S94" t="s">
        <v>2504</v>
      </c>
      <c r="V94">
        <v>0</v>
      </c>
      <c r="X94" s="4">
        <v>150000</v>
      </c>
    </row>
    <row r="95" spans="3:24" x14ac:dyDescent="0.4">
      <c r="C95" t="s">
        <v>4</v>
      </c>
      <c r="D95" t="s">
        <v>403</v>
      </c>
      <c r="E95" t="s">
        <v>990</v>
      </c>
      <c r="G95" t="s">
        <v>963</v>
      </c>
      <c r="H95" t="s">
        <v>37</v>
      </c>
      <c r="J95">
        <v>0</v>
      </c>
      <c r="K95">
        <v>0</v>
      </c>
      <c r="L95">
        <v>0</v>
      </c>
      <c r="M95">
        <v>0</v>
      </c>
      <c r="N95">
        <v>0</v>
      </c>
      <c r="S95" t="s">
        <v>2505</v>
      </c>
      <c r="V95">
        <v>0</v>
      </c>
      <c r="X95" s="4">
        <v>100000</v>
      </c>
    </row>
    <row r="96" spans="3:24" x14ac:dyDescent="0.4">
      <c r="C96" t="s">
        <v>4</v>
      </c>
      <c r="D96" t="s">
        <v>404</v>
      </c>
      <c r="E96" t="s">
        <v>991</v>
      </c>
      <c r="G96" t="s">
        <v>963</v>
      </c>
      <c r="H96" t="s">
        <v>37</v>
      </c>
      <c r="J96">
        <v>0</v>
      </c>
      <c r="K96">
        <v>0</v>
      </c>
      <c r="L96">
        <v>0</v>
      </c>
      <c r="M96">
        <v>0</v>
      </c>
      <c r="N96">
        <v>0</v>
      </c>
      <c r="S96" t="s">
        <v>2503</v>
      </c>
      <c r="V96">
        <v>0</v>
      </c>
    </row>
    <row r="97" spans="3:24" x14ac:dyDescent="0.4">
      <c r="C97" t="s">
        <v>4</v>
      </c>
      <c r="D97" t="s">
        <v>405</v>
      </c>
      <c r="E97" t="s">
        <v>992</v>
      </c>
      <c r="G97" t="s">
        <v>963</v>
      </c>
      <c r="H97" t="s">
        <v>37</v>
      </c>
      <c r="J97">
        <v>0</v>
      </c>
      <c r="K97">
        <v>0</v>
      </c>
      <c r="L97">
        <v>0</v>
      </c>
      <c r="M97">
        <v>0</v>
      </c>
      <c r="N97">
        <v>0</v>
      </c>
      <c r="S97" t="s">
        <v>2507</v>
      </c>
      <c r="V97">
        <v>0</v>
      </c>
      <c r="X97" s="4">
        <v>100000</v>
      </c>
    </row>
    <row r="98" spans="3:24" x14ac:dyDescent="0.4">
      <c r="C98" t="s">
        <v>4</v>
      </c>
      <c r="D98" t="s">
        <v>406</v>
      </c>
      <c r="E98" t="s">
        <v>993</v>
      </c>
      <c r="G98" t="s">
        <v>1423</v>
      </c>
      <c r="H98" t="s">
        <v>35</v>
      </c>
      <c r="J98">
        <v>0</v>
      </c>
      <c r="K98">
        <v>0</v>
      </c>
      <c r="L98">
        <v>0</v>
      </c>
      <c r="M98">
        <v>0</v>
      </c>
      <c r="N98">
        <v>0</v>
      </c>
      <c r="S98" t="s">
        <v>2505</v>
      </c>
      <c r="V98">
        <v>0</v>
      </c>
      <c r="X98" s="4">
        <v>300000</v>
      </c>
    </row>
    <row r="99" spans="3:24" x14ac:dyDescent="0.4">
      <c r="C99" t="s">
        <v>4</v>
      </c>
      <c r="D99" t="s">
        <v>407</v>
      </c>
      <c r="E99" t="s">
        <v>994</v>
      </c>
      <c r="G99" t="s">
        <v>963</v>
      </c>
      <c r="H99" t="s">
        <v>37</v>
      </c>
      <c r="J99">
        <v>0</v>
      </c>
      <c r="K99">
        <v>0</v>
      </c>
      <c r="L99">
        <v>0</v>
      </c>
      <c r="M99">
        <v>0</v>
      </c>
      <c r="N99">
        <v>0</v>
      </c>
      <c r="S99" t="s">
        <v>2506</v>
      </c>
      <c r="V99">
        <v>0</v>
      </c>
      <c r="X99" s="4">
        <v>100000</v>
      </c>
    </row>
    <row r="100" spans="3:24" x14ac:dyDescent="0.4">
      <c r="C100" t="s">
        <v>4</v>
      </c>
      <c r="D100" t="s">
        <v>408</v>
      </c>
      <c r="E100" t="s">
        <v>995</v>
      </c>
      <c r="G100" t="s">
        <v>963</v>
      </c>
      <c r="H100" t="s">
        <v>37</v>
      </c>
      <c r="J100">
        <v>0</v>
      </c>
      <c r="K100">
        <v>0</v>
      </c>
      <c r="L100">
        <v>0</v>
      </c>
      <c r="M100">
        <v>0</v>
      </c>
      <c r="N100">
        <v>0</v>
      </c>
      <c r="S100" t="s">
        <v>2503</v>
      </c>
      <c r="V100">
        <v>0</v>
      </c>
    </row>
    <row r="101" spans="3:24" x14ac:dyDescent="0.4">
      <c r="C101" t="s">
        <v>4</v>
      </c>
      <c r="D101" t="s">
        <v>409</v>
      </c>
      <c r="E101" t="s">
        <v>996</v>
      </c>
      <c r="G101" t="s">
        <v>1423</v>
      </c>
      <c r="H101" t="s">
        <v>35</v>
      </c>
      <c r="J101">
        <v>0</v>
      </c>
      <c r="K101">
        <v>0</v>
      </c>
      <c r="L101">
        <v>0</v>
      </c>
      <c r="M101">
        <v>0</v>
      </c>
      <c r="N101">
        <v>0</v>
      </c>
      <c r="S101" t="s">
        <v>2504</v>
      </c>
      <c r="V101">
        <v>0</v>
      </c>
      <c r="X101" s="4">
        <v>200000</v>
      </c>
    </row>
    <row r="102" spans="3:24" x14ac:dyDescent="0.4">
      <c r="C102" t="s">
        <v>4</v>
      </c>
      <c r="D102" t="s">
        <v>410</v>
      </c>
      <c r="E102" t="s">
        <v>997</v>
      </c>
      <c r="G102" t="s">
        <v>963</v>
      </c>
      <c r="H102" t="s">
        <v>37</v>
      </c>
      <c r="J102">
        <v>0</v>
      </c>
      <c r="K102">
        <v>0</v>
      </c>
      <c r="L102">
        <v>0</v>
      </c>
      <c r="M102">
        <v>0</v>
      </c>
      <c r="N102">
        <v>0</v>
      </c>
      <c r="S102" t="s">
        <v>2503</v>
      </c>
      <c r="V102">
        <v>0</v>
      </c>
    </row>
    <row r="103" spans="3:24" x14ac:dyDescent="0.4">
      <c r="C103" t="s">
        <v>4</v>
      </c>
      <c r="D103" t="s">
        <v>411</v>
      </c>
      <c r="E103" t="s">
        <v>998</v>
      </c>
      <c r="G103" t="s">
        <v>963</v>
      </c>
      <c r="H103" t="s">
        <v>37</v>
      </c>
      <c r="J103">
        <v>0</v>
      </c>
      <c r="K103">
        <v>0</v>
      </c>
      <c r="L103">
        <v>0</v>
      </c>
      <c r="M103">
        <v>0</v>
      </c>
      <c r="N103">
        <v>0</v>
      </c>
      <c r="S103" t="s">
        <v>2503</v>
      </c>
      <c r="V103">
        <v>0</v>
      </c>
    </row>
    <row r="104" spans="3:24" x14ac:dyDescent="0.4">
      <c r="C104" t="s">
        <v>4</v>
      </c>
      <c r="D104" t="s">
        <v>412</v>
      </c>
      <c r="E104" t="s">
        <v>999</v>
      </c>
      <c r="G104" t="s">
        <v>963</v>
      </c>
      <c r="H104" t="s">
        <v>37</v>
      </c>
      <c r="J104">
        <v>0</v>
      </c>
      <c r="K104">
        <v>0</v>
      </c>
      <c r="L104">
        <v>0</v>
      </c>
      <c r="M104">
        <v>0</v>
      </c>
      <c r="N104">
        <v>0</v>
      </c>
      <c r="S104" t="s">
        <v>2503</v>
      </c>
      <c r="V104">
        <v>0</v>
      </c>
    </row>
    <row r="105" spans="3:24" x14ac:dyDescent="0.4">
      <c r="C105" t="s">
        <v>4</v>
      </c>
      <c r="D105" t="s">
        <v>413</v>
      </c>
      <c r="E105" t="s">
        <v>37</v>
      </c>
      <c r="J105">
        <v>0</v>
      </c>
      <c r="K105">
        <v>0</v>
      </c>
      <c r="L105">
        <v>0</v>
      </c>
      <c r="M105">
        <v>0</v>
      </c>
      <c r="N105">
        <v>0</v>
      </c>
      <c r="S105" t="s">
        <v>2507</v>
      </c>
      <c r="V105">
        <v>0</v>
      </c>
    </row>
    <row r="106" spans="3:24" x14ac:dyDescent="0.4">
      <c r="C106" t="s">
        <v>3</v>
      </c>
      <c r="D106" t="s">
        <v>414</v>
      </c>
      <c r="E106" t="s">
        <v>1000</v>
      </c>
      <c r="G106" t="s">
        <v>966</v>
      </c>
      <c r="H106" t="s">
        <v>38</v>
      </c>
      <c r="J106">
        <v>0</v>
      </c>
      <c r="K106">
        <v>0</v>
      </c>
      <c r="L106">
        <v>0</v>
      </c>
      <c r="M106">
        <v>0</v>
      </c>
      <c r="N106">
        <v>0</v>
      </c>
      <c r="S106" t="s">
        <v>2503</v>
      </c>
      <c r="V106">
        <v>0</v>
      </c>
    </row>
    <row r="107" spans="3:24" x14ac:dyDescent="0.4">
      <c r="C107" t="s">
        <v>3</v>
      </c>
      <c r="D107" t="s">
        <v>415</v>
      </c>
      <c r="E107" t="s">
        <v>1001</v>
      </c>
      <c r="G107" t="s">
        <v>940</v>
      </c>
      <c r="H107" t="s">
        <v>40</v>
      </c>
      <c r="I107" t="s">
        <v>1523</v>
      </c>
      <c r="J107">
        <v>0</v>
      </c>
      <c r="K107">
        <v>0</v>
      </c>
      <c r="L107">
        <v>0</v>
      </c>
      <c r="M107">
        <v>0</v>
      </c>
      <c r="N107">
        <v>0</v>
      </c>
      <c r="S107" t="s">
        <v>2503</v>
      </c>
      <c r="V107">
        <v>0</v>
      </c>
    </row>
    <row r="108" spans="3:24" x14ac:dyDescent="0.4">
      <c r="C108" t="s">
        <v>4</v>
      </c>
      <c r="D108" t="s">
        <v>416</v>
      </c>
      <c r="E108" t="s">
        <v>1002</v>
      </c>
      <c r="G108" t="s">
        <v>1524</v>
      </c>
      <c r="H108" t="s">
        <v>35</v>
      </c>
      <c r="I108" t="s">
        <v>1525</v>
      </c>
      <c r="J108" t="s">
        <v>1939</v>
      </c>
      <c r="K108" t="s">
        <v>2080</v>
      </c>
      <c r="L108" t="s">
        <v>2081</v>
      </c>
      <c r="M108" t="s">
        <v>1939</v>
      </c>
      <c r="N108" t="s">
        <v>2082</v>
      </c>
      <c r="S108" t="s">
        <v>2503</v>
      </c>
      <c r="V108">
        <v>0</v>
      </c>
    </row>
    <row r="109" spans="3:24" x14ac:dyDescent="0.4">
      <c r="C109" t="s">
        <v>4</v>
      </c>
      <c r="D109" t="s">
        <v>417</v>
      </c>
      <c r="E109" t="s">
        <v>1003</v>
      </c>
      <c r="G109" t="s">
        <v>963</v>
      </c>
      <c r="H109" t="s">
        <v>37</v>
      </c>
      <c r="J109">
        <v>0</v>
      </c>
      <c r="K109">
        <v>0</v>
      </c>
      <c r="L109">
        <v>0</v>
      </c>
      <c r="M109">
        <v>0</v>
      </c>
      <c r="N109">
        <v>0</v>
      </c>
      <c r="S109" t="s">
        <v>2503</v>
      </c>
      <c r="V109">
        <v>0</v>
      </c>
    </row>
    <row r="110" spans="3:24" x14ac:dyDescent="0.4">
      <c r="C110" t="s">
        <v>3</v>
      </c>
      <c r="D110" t="s">
        <v>418</v>
      </c>
      <c r="E110" t="s">
        <v>1004</v>
      </c>
      <c r="G110" t="s">
        <v>57</v>
      </c>
      <c r="H110" t="s">
        <v>43</v>
      </c>
      <c r="J110">
        <v>0</v>
      </c>
      <c r="K110">
        <v>0</v>
      </c>
      <c r="L110">
        <v>0</v>
      </c>
      <c r="M110">
        <v>0</v>
      </c>
      <c r="N110">
        <v>0</v>
      </c>
      <c r="S110" t="s">
        <v>2503</v>
      </c>
      <c r="V110">
        <v>0</v>
      </c>
    </row>
    <row r="111" spans="3:24" x14ac:dyDescent="0.4">
      <c r="C111" t="s">
        <v>4</v>
      </c>
      <c r="D111" t="s">
        <v>419</v>
      </c>
      <c r="E111" t="s">
        <v>1005</v>
      </c>
      <c r="G111" t="s">
        <v>1423</v>
      </c>
      <c r="H111" t="s">
        <v>35</v>
      </c>
      <c r="I111" t="s">
        <v>1526</v>
      </c>
      <c r="J111" t="s">
        <v>1940</v>
      </c>
      <c r="K111" t="s">
        <v>2083</v>
      </c>
      <c r="L111">
        <v>0</v>
      </c>
      <c r="M111">
        <v>0</v>
      </c>
      <c r="N111" t="s">
        <v>2084</v>
      </c>
      <c r="S111" t="s">
        <v>2504</v>
      </c>
      <c r="V111">
        <v>0</v>
      </c>
    </row>
    <row r="112" spans="3:24" x14ac:dyDescent="0.4">
      <c r="C112" t="s">
        <v>4</v>
      </c>
      <c r="D112" t="s">
        <v>420</v>
      </c>
      <c r="E112" t="s">
        <v>1006</v>
      </c>
      <c r="G112" t="s">
        <v>1527</v>
      </c>
      <c r="H112" t="s">
        <v>42</v>
      </c>
      <c r="J112" t="s">
        <v>1941</v>
      </c>
      <c r="K112" t="s">
        <v>2085</v>
      </c>
      <c r="L112" t="s">
        <v>2086</v>
      </c>
      <c r="M112" t="s">
        <v>1941</v>
      </c>
      <c r="N112" t="s">
        <v>2087</v>
      </c>
      <c r="S112" t="s">
        <v>2503</v>
      </c>
      <c r="V112">
        <v>0</v>
      </c>
    </row>
    <row r="113" spans="3:22" x14ac:dyDescent="0.4">
      <c r="C113" t="s">
        <v>3</v>
      </c>
      <c r="D113" t="s">
        <v>421</v>
      </c>
      <c r="E113" t="s">
        <v>1007</v>
      </c>
      <c r="G113" t="s">
        <v>1528</v>
      </c>
      <c r="H113" t="s">
        <v>37</v>
      </c>
      <c r="I113" t="s">
        <v>1529</v>
      </c>
      <c r="J113">
        <v>0</v>
      </c>
      <c r="K113">
        <v>0</v>
      </c>
      <c r="L113">
        <v>0</v>
      </c>
      <c r="M113">
        <v>0</v>
      </c>
      <c r="N113">
        <v>0</v>
      </c>
      <c r="S113" t="s">
        <v>2503</v>
      </c>
      <c r="V113">
        <v>0</v>
      </c>
    </row>
    <row r="114" spans="3:22" x14ac:dyDescent="0.4">
      <c r="C114" t="s">
        <v>4</v>
      </c>
      <c r="D114" t="s">
        <v>422</v>
      </c>
      <c r="E114" t="s">
        <v>1008</v>
      </c>
      <c r="G114" t="s">
        <v>940</v>
      </c>
      <c r="H114" t="s">
        <v>40</v>
      </c>
      <c r="I114" t="s">
        <v>1530</v>
      </c>
      <c r="J114">
        <v>0</v>
      </c>
      <c r="K114">
        <v>0</v>
      </c>
      <c r="L114">
        <v>0</v>
      </c>
      <c r="M114">
        <v>0</v>
      </c>
      <c r="N114" t="s">
        <v>2088</v>
      </c>
      <c r="S114" t="s">
        <v>2503</v>
      </c>
      <c r="V114">
        <v>0</v>
      </c>
    </row>
    <row r="115" spans="3:22" x14ac:dyDescent="0.4">
      <c r="C115" t="s">
        <v>3</v>
      </c>
      <c r="D115" t="s">
        <v>423</v>
      </c>
      <c r="E115" t="s">
        <v>1009</v>
      </c>
      <c r="G115" t="s">
        <v>940</v>
      </c>
      <c r="H115" t="s">
        <v>40</v>
      </c>
      <c r="J115">
        <v>0</v>
      </c>
      <c r="K115">
        <v>0</v>
      </c>
      <c r="L115">
        <v>0</v>
      </c>
      <c r="M115">
        <v>0</v>
      </c>
      <c r="N115">
        <v>0</v>
      </c>
      <c r="S115" t="s">
        <v>2503</v>
      </c>
      <c r="V115">
        <v>0</v>
      </c>
    </row>
    <row r="116" spans="3:22" x14ac:dyDescent="0.4">
      <c r="C116" t="s">
        <v>3</v>
      </c>
      <c r="D116" t="s">
        <v>424</v>
      </c>
      <c r="E116" t="s">
        <v>1010</v>
      </c>
      <c r="G116" t="s">
        <v>1524</v>
      </c>
      <c r="H116" t="s">
        <v>35</v>
      </c>
      <c r="I116" t="s">
        <v>1531</v>
      </c>
      <c r="J116">
        <v>0</v>
      </c>
      <c r="K116">
        <v>0</v>
      </c>
      <c r="L116">
        <v>0</v>
      </c>
      <c r="M116">
        <v>0</v>
      </c>
      <c r="N116">
        <v>0</v>
      </c>
      <c r="S116" t="s">
        <v>2503</v>
      </c>
      <c r="V116">
        <v>0</v>
      </c>
    </row>
    <row r="117" spans="3:22" x14ac:dyDescent="0.4">
      <c r="C117" t="s">
        <v>4</v>
      </c>
      <c r="D117" t="s">
        <v>425</v>
      </c>
      <c r="E117" t="s">
        <v>1011</v>
      </c>
      <c r="G117" t="s">
        <v>963</v>
      </c>
      <c r="H117" t="s">
        <v>37</v>
      </c>
      <c r="J117">
        <v>0</v>
      </c>
      <c r="K117">
        <v>0</v>
      </c>
      <c r="L117">
        <v>0</v>
      </c>
      <c r="M117">
        <v>0</v>
      </c>
      <c r="N117">
        <v>0</v>
      </c>
      <c r="S117" t="s">
        <v>2508</v>
      </c>
      <c r="V117">
        <v>0</v>
      </c>
    </row>
    <row r="118" spans="3:22" x14ac:dyDescent="0.4">
      <c r="C118" t="s">
        <v>3</v>
      </c>
      <c r="D118" t="s">
        <v>426</v>
      </c>
      <c r="E118" t="s">
        <v>1012</v>
      </c>
      <c r="G118" t="s">
        <v>963</v>
      </c>
      <c r="H118" t="s">
        <v>37</v>
      </c>
      <c r="J118">
        <v>0</v>
      </c>
      <c r="K118">
        <v>0</v>
      </c>
      <c r="L118">
        <v>0</v>
      </c>
      <c r="M118">
        <v>0</v>
      </c>
      <c r="N118">
        <v>0</v>
      </c>
      <c r="S118" t="s">
        <v>2503</v>
      </c>
      <c r="V118">
        <v>0</v>
      </c>
    </row>
    <row r="119" spans="3:22" x14ac:dyDescent="0.4">
      <c r="C119" t="s">
        <v>3</v>
      </c>
      <c r="D119" t="s">
        <v>427</v>
      </c>
      <c r="E119" t="s">
        <v>1013</v>
      </c>
      <c r="G119" t="s">
        <v>940</v>
      </c>
      <c r="H119" t="s">
        <v>40</v>
      </c>
      <c r="J119">
        <v>0</v>
      </c>
      <c r="K119" t="s">
        <v>2089</v>
      </c>
      <c r="L119" t="s">
        <v>2090</v>
      </c>
      <c r="M119" t="s">
        <v>2091</v>
      </c>
      <c r="N119" t="s">
        <v>2092</v>
      </c>
      <c r="S119" t="s">
        <v>2503</v>
      </c>
      <c r="V119">
        <v>0</v>
      </c>
    </row>
    <row r="120" spans="3:22" x14ac:dyDescent="0.4">
      <c r="C120" t="s">
        <v>3</v>
      </c>
      <c r="D120" t="s">
        <v>428</v>
      </c>
      <c r="E120" t="s">
        <v>963</v>
      </c>
      <c r="G120" t="s">
        <v>37</v>
      </c>
      <c r="H120" t="s">
        <v>37</v>
      </c>
      <c r="J120">
        <v>0</v>
      </c>
      <c r="K120">
        <v>0</v>
      </c>
      <c r="L120">
        <v>0</v>
      </c>
      <c r="M120">
        <v>0</v>
      </c>
      <c r="N120">
        <v>0</v>
      </c>
      <c r="S120" t="s">
        <v>2503</v>
      </c>
      <c r="V120">
        <v>0</v>
      </c>
    </row>
    <row r="121" spans="3:22" x14ac:dyDescent="0.4">
      <c r="C121" t="s">
        <v>3</v>
      </c>
      <c r="D121" t="s">
        <v>429</v>
      </c>
      <c r="E121" t="s">
        <v>963</v>
      </c>
      <c r="G121" t="s">
        <v>37</v>
      </c>
      <c r="H121" t="s">
        <v>37</v>
      </c>
      <c r="J121">
        <v>0</v>
      </c>
      <c r="K121">
        <v>0</v>
      </c>
      <c r="L121">
        <v>0</v>
      </c>
      <c r="M121">
        <v>0</v>
      </c>
      <c r="N121">
        <v>0</v>
      </c>
      <c r="S121" t="s">
        <v>2503</v>
      </c>
      <c r="V121">
        <v>0</v>
      </c>
    </row>
    <row r="122" spans="3:22" x14ac:dyDescent="0.4">
      <c r="C122" t="s">
        <v>4</v>
      </c>
      <c r="D122" t="s">
        <v>430</v>
      </c>
      <c r="E122" t="s">
        <v>1014</v>
      </c>
      <c r="G122" t="s">
        <v>1423</v>
      </c>
      <c r="H122" t="s">
        <v>35</v>
      </c>
      <c r="J122">
        <v>0</v>
      </c>
      <c r="K122">
        <v>0</v>
      </c>
      <c r="L122">
        <v>0</v>
      </c>
      <c r="M122">
        <v>0</v>
      </c>
      <c r="N122">
        <v>0</v>
      </c>
      <c r="S122" t="s">
        <v>2503</v>
      </c>
      <c r="V122">
        <v>0</v>
      </c>
    </row>
    <row r="123" spans="3:22" x14ac:dyDescent="0.4">
      <c r="C123" t="s">
        <v>3</v>
      </c>
      <c r="D123" t="s">
        <v>431</v>
      </c>
      <c r="E123" t="s">
        <v>1015</v>
      </c>
      <c r="G123" t="s">
        <v>1423</v>
      </c>
      <c r="H123" t="s">
        <v>35</v>
      </c>
      <c r="J123">
        <v>0</v>
      </c>
      <c r="K123">
        <v>0</v>
      </c>
      <c r="L123">
        <v>0</v>
      </c>
      <c r="M123">
        <v>0</v>
      </c>
      <c r="N123">
        <v>0</v>
      </c>
      <c r="S123" t="s">
        <v>2503</v>
      </c>
      <c r="V123">
        <v>0</v>
      </c>
    </row>
    <row r="124" spans="3:22" x14ac:dyDescent="0.4">
      <c r="C124" t="s">
        <v>3</v>
      </c>
      <c r="D124" t="s">
        <v>432</v>
      </c>
      <c r="E124" t="s">
        <v>940</v>
      </c>
      <c r="G124" t="s">
        <v>54</v>
      </c>
      <c r="H124" t="s">
        <v>40</v>
      </c>
      <c r="J124">
        <v>0</v>
      </c>
      <c r="K124">
        <v>0</v>
      </c>
      <c r="L124">
        <v>0</v>
      </c>
      <c r="M124">
        <v>0</v>
      </c>
      <c r="N124">
        <v>0</v>
      </c>
      <c r="S124" t="s">
        <v>2503</v>
      </c>
      <c r="V124">
        <v>0</v>
      </c>
    </row>
    <row r="125" spans="3:22" x14ac:dyDescent="0.4">
      <c r="C125" t="s">
        <v>3</v>
      </c>
      <c r="D125" t="s">
        <v>433</v>
      </c>
      <c r="E125" t="s">
        <v>1016</v>
      </c>
      <c r="G125" t="s">
        <v>966</v>
      </c>
      <c r="H125" t="s">
        <v>38</v>
      </c>
      <c r="I125" t="s">
        <v>1532</v>
      </c>
      <c r="J125">
        <v>0</v>
      </c>
      <c r="K125">
        <v>0</v>
      </c>
      <c r="L125">
        <v>0</v>
      </c>
      <c r="M125">
        <v>0</v>
      </c>
      <c r="N125">
        <v>0</v>
      </c>
      <c r="S125" t="s">
        <v>2503</v>
      </c>
      <c r="V125">
        <v>0</v>
      </c>
    </row>
    <row r="126" spans="3:22" x14ac:dyDescent="0.4">
      <c r="C126" t="s">
        <v>4</v>
      </c>
      <c r="D126" t="s">
        <v>434</v>
      </c>
      <c r="E126" t="s">
        <v>1017</v>
      </c>
      <c r="G126" t="s">
        <v>1004</v>
      </c>
      <c r="H126" t="s">
        <v>43</v>
      </c>
      <c r="I126" t="s">
        <v>1533</v>
      </c>
      <c r="J126">
        <v>0</v>
      </c>
      <c r="K126">
        <v>0</v>
      </c>
      <c r="L126">
        <v>0</v>
      </c>
      <c r="M126">
        <v>0</v>
      </c>
      <c r="N126">
        <v>0</v>
      </c>
      <c r="S126" t="s">
        <v>2504</v>
      </c>
      <c r="V126">
        <v>0</v>
      </c>
    </row>
    <row r="127" spans="3:22" x14ac:dyDescent="0.4">
      <c r="C127" t="s">
        <v>3</v>
      </c>
      <c r="D127" t="s">
        <v>435</v>
      </c>
      <c r="E127" t="s">
        <v>1018</v>
      </c>
      <c r="G127" t="s">
        <v>1004</v>
      </c>
      <c r="H127" t="s">
        <v>43</v>
      </c>
      <c r="I127" t="s">
        <v>1534</v>
      </c>
      <c r="J127">
        <v>0</v>
      </c>
      <c r="K127">
        <v>0</v>
      </c>
      <c r="L127">
        <v>0</v>
      </c>
      <c r="M127">
        <v>0</v>
      </c>
      <c r="N127">
        <v>0</v>
      </c>
      <c r="S127" t="s">
        <v>2503</v>
      </c>
      <c r="V127">
        <v>0</v>
      </c>
    </row>
    <row r="128" spans="3:22" x14ac:dyDescent="0.4">
      <c r="C128" t="s">
        <v>3</v>
      </c>
      <c r="D128" t="s">
        <v>436</v>
      </c>
      <c r="E128" t="s">
        <v>1019</v>
      </c>
      <c r="G128" t="s">
        <v>1423</v>
      </c>
      <c r="H128" t="s">
        <v>35</v>
      </c>
      <c r="I128" t="s">
        <v>1535</v>
      </c>
      <c r="J128" t="s">
        <v>1942</v>
      </c>
      <c r="K128" t="s">
        <v>2093</v>
      </c>
      <c r="L128" t="s">
        <v>2094</v>
      </c>
      <c r="M128" t="s">
        <v>1942</v>
      </c>
      <c r="N128" t="s">
        <v>2095</v>
      </c>
      <c r="S128" t="s">
        <v>2503</v>
      </c>
      <c r="V128">
        <v>0</v>
      </c>
    </row>
    <row r="129" spans="3:25" x14ac:dyDescent="0.4">
      <c r="C129" t="s">
        <v>5</v>
      </c>
      <c r="D129" t="s">
        <v>437</v>
      </c>
      <c r="E129" t="s">
        <v>1020</v>
      </c>
      <c r="G129" t="s">
        <v>1536</v>
      </c>
      <c r="H129" t="s">
        <v>1537</v>
      </c>
      <c r="I129" t="s">
        <v>1538</v>
      </c>
      <c r="J129" t="s">
        <v>1943</v>
      </c>
      <c r="K129" t="s">
        <v>2096</v>
      </c>
      <c r="L129" t="s">
        <v>2097</v>
      </c>
      <c r="M129">
        <v>-9868129746</v>
      </c>
      <c r="N129">
        <v>0</v>
      </c>
      <c r="S129" t="s">
        <v>2503</v>
      </c>
      <c r="V129">
        <v>0</v>
      </c>
    </row>
    <row r="130" spans="3:25" x14ac:dyDescent="0.4">
      <c r="C130" t="s">
        <v>4</v>
      </c>
      <c r="D130" t="s">
        <v>438</v>
      </c>
      <c r="E130" t="s">
        <v>1021</v>
      </c>
      <c r="G130" t="s">
        <v>1417</v>
      </c>
      <c r="H130" t="s">
        <v>35</v>
      </c>
      <c r="I130" t="s">
        <v>1539</v>
      </c>
      <c r="J130">
        <v>0</v>
      </c>
      <c r="K130">
        <v>0</v>
      </c>
      <c r="L130">
        <v>0</v>
      </c>
      <c r="M130">
        <v>0</v>
      </c>
      <c r="N130">
        <v>0</v>
      </c>
      <c r="S130" t="s">
        <v>2503</v>
      </c>
      <c r="V130">
        <v>0</v>
      </c>
    </row>
    <row r="131" spans="3:25" x14ac:dyDescent="0.4">
      <c r="C131" t="s">
        <v>3</v>
      </c>
      <c r="D131" t="s">
        <v>439</v>
      </c>
      <c r="E131" t="s">
        <v>940</v>
      </c>
      <c r="G131" t="s">
        <v>54</v>
      </c>
      <c r="H131" t="s">
        <v>40</v>
      </c>
      <c r="I131" t="s">
        <v>1540</v>
      </c>
      <c r="J131" t="s">
        <v>1944</v>
      </c>
      <c r="K131">
        <v>0</v>
      </c>
      <c r="L131">
        <v>0</v>
      </c>
      <c r="M131">
        <v>0</v>
      </c>
      <c r="N131">
        <v>0</v>
      </c>
      <c r="S131" t="s">
        <v>2503</v>
      </c>
      <c r="V131">
        <v>0</v>
      </c>
    </row>
    <row r="132" spans="3:25" x14ac:dyDescent="0.4">
      <c r="C132" t="s">
        <v>4</v>
      </c>
      <c r="D132" t="s">
        <v>440</v>
      </c>
      <c r="E132" t="s">
        <v>1022</v>
      </c>
      <c r="G132" t="s">
        <v>1541</v>
      </c>
      <c r="H132" t="s">
        <v>44</v>
      </c>
      <c r="I132" t="s">
        <v>1542</v>
      </c>
      <c r="J132">
        <v>0</v>
      </c>
      <c r="K132">
        <v>0</v>
      </c>
      <c r="L132">
        <v>0</v>
      </c>
      <c r="M132">
        <v>0</v>
      </c>
      <c r="N132">
        <v>0</v>
      </c>
      <c r="S132" t="s">
        <v>2503</v>
      </c>
      <c r="V132">
        <v>0</v>
      </c>
    </row>
    <row r="133" spans="3:25" x14ac:dyDescent="0.4">
      <c r="C133" t="s">
        <v>3</v>
      </c>
      <c r="D133" t="s">
        <v>441</v>
      </c>
      <c r="E133" t="s">
        <v>1023</v>
      </c>
      <c r="G133" t="s">
        <v>1154</v>
      </c>
      <c r="H133" t="s">
        <v>37</v>
      </c>
      <c r="J133">
        <v>0</v>
      </c>
      <c r="K133">
        <v>0</v>
      </c>
      <c r="L133">
        <v>0</v>
      </c>
      <c r="M133">
        <v>0</v>
      </c>
      <c r="N133">
        <v>0</v>
      </c>
      <c r="S133" t="s">
        <v>2503</v>
      </c>
      <c r="V133">
        <v>0</v>
      </c>
    </row>
    <row r="134" spans="3:25" x14ac:dyDescent="0.4">
      <c r="C134" t="s">
        <v>3</v>
      </c>
      <c r="D134" t="s">
        <v>442</v>
      </c>
      <c r="E134" t="s">
        <v>1024</v>
      </c>
      <c r="G134" t="s">
        <v>963</v>
      </c>
      <c r="H134" t="s">
        <v>37</v>
      </c>
      <c r="J134">
        <v>0</v>
      </c>
      <c r="K134">
        <v>0</v>
      </c>
      <c r="L134">
        <v>0</v>
      </c>
      <c r="M134">
        <v>0</v>
      </c>
      <c r="N134">
        <v>0</v>
      </c>
      <c r="S134" t="s">
        <v>2503</v>
      </c>
      <c r="V134">
        <v>0</v>
      </c>
    </row>
    <row r="135" spans="3:25" x14ac:dyDescent="0.4">
      <c r="C135" t="s">
        <v>3</v>
      </c>
      <c r="D135" t="s">
        <v>443</v>
      </c>
      <c r="E135" t="s">
        <v>1025</v>
      </c>
      <c r="G135" t="s">
        <v>963</v>
      </c>
      <c r="H135" t="s">
        <v>37</v>
      </c>
      <c r="I135" t="s">
        <v>1543</v>
      </c>
      <c r="J135">
        <v>0</v>
      </c>
      <c r="K135">
        <v>0</v>
      </c>
      <c r="L135">
        <v>0</v>
      </c>
      <c r="M135">
        <v>0</v>
      </c>
      <c r="N135">
        <v>0</v>
      </c>
      <c r="S135" t="s">
        <v>2503</v>
      </c>
      <c r="V135">
        <v>0</v>
      </c>
    </row>
    <row r="136" spans="3:25" x14ac:dyDescent="0.4">
      <c r="C136" t="s">
        <v>4</v>
      </c>
      <c r="D136" t="s">
        <v>444</v>
      </c>
      <c r="E136" t="s">
        <v>1026</v>
      </c>
      <c r="G136" t="s">
        <v>963</v>
      </c>
      <c r="H136" t="s">
        <v>37</v>
      </c>
      <c r="J136" t="s">
        <v>1945</v>
      </c>
      <c r="K136">
        <v>0</v>
      </c>
      <c r="L136">
        <v>0</v>
      </c>
      <c r="M136" t="s">
        <v>1945</v>
      </c>
      <c r="N136">
        <v>0</v>
      </c>
      <c r="S136" t="s">
        <v>2503</v>
      </c>
      <c r="V136" t="s">
        <v>2518</v>
      </c>
    </row>
    <row r="137" spans="3:25" x14ac:dyDescent="0.4">
      <c r="C137" t="s">
        <v>4</v>
      </c>
      <c r="D137" t="s">
        <v>445</v>
      </c>
      <c r="E137" t="s">
        <v>1027</v>
      </c>
      <c r="G137" t="s">
        <v>963</v>
      </c>
      <c r="H137" t="s">
        <v>37</v>
      </c>
      <c r="I137" t="s">
        <v>1544</v>
      </c>
      <c r="J137">
        <v>0</v>
      </c>
      <c r="K137">
        <v>0</v>
      </c>
      <c r="L137">
        <v>0</v>
      </c>
      <c r="M137">
        <v>0</v>
      </c>
      <c r="N137">
        <v>0</v>
      </c>
      <c r="S137" t="s">
        <v>2503</v>
      </c>
      <c r="V137">
        <v>0</v>
      </c>
    </row>
    <row r="138" spans="3:25" x14ac:dyDescent="0.4">
      <c r="C138" t="s">
        <v>3</v>
      </c>
      <c r="D138" t="s">
        <v>446</v>
      </c>
      <c r="E138" t="s">
        <v>1028</v>
      </c>
      <c r="G138" t="s">
        <v>963</v>
      </c>
      <c r="H138" t="s">
        <v>37</v>
      </c>
      <c r="I138" t="s">
        <v>1545</v>
      </c>
      <c r="J138">
        <v>0</v>
      </c>
      <c r="K138">
        <v>0</v>
      </c>
      <c r="L138">
        <v>0</v>
      </c>
      <c r="M138">
        <v>0</v>
      </c>
      <c r="N138">
        <v>0</v>
      </c>
      <c r="S138" t="s">
        <v>2503</v>
      </c>
      <c r="V138">
        <v>0</v>
      </c>
    </row>
    <row r="139" spans="3:25" x14ac:dyDescent="0.4">
      <c r="C139" t="s">
        <v>3</v>
      </c>
      <c r="D139" t="s">
        <v>447</v>
      </c>
      <c r="E139" t="s">
        <v>1029</v>
      </c>
      <c r="G139" t="s">
        <v>963</v>
      </c>
      <c r="H139" t="s">
        <v>37</v>
      </c>
      <c r="I139" t="s">
        <v>1546</v>
      </c>
      <c r="J139">
        <v>0</v>
      </c>
      <c r="K139">
        <v>0</v>
      </c>
      <c r="L139">
        <v>0</v>
      </c>
      <c r="M139">
        <v>0</v>
      </c>
      <c r="N139">
        <v>0</v>
      </c>
      <c r="S139" t="s">
        <v>2503</v>
      </c>
      <c r="V139">
        <v>0</v>
      </c>
    </row>
    <row r="140" spans="3:25" x14ac:dyDescent="0.4">
      <c r="C140" t="s">
        <v>3</v>
      </c>
      <c r="D140" t="s">
        <v>448</v>
      </c>
      <c r="E140" t="s">
        <v>1030</v>
      </c>
      <c r="G140" t="s">
        <v>1524</v>
      </c>
      <c r="H140" t="s">
        <v>35</v>
      </c>
      <c r="J140" t="s">
        <v>1946</v>
      </c>
      <c r="K140" t="s">
        <v>2098</v>
      </c>
      <c r="L140" t="s">
        <v>2099</v>
      </c>
      <c r="M140" t="s">
        <v>1946</v>
      </c>
      <c r="N140" t="s">
        <v>2100</v>
      </c>
      <c r="S140" t="s">
        <v>2503</v>
      </c>
      <c r="V140">
        <v>0</v>
      </c>
    </row>
    <row r="141" spans="3:25" x14ac:dyDescent="0.4">
      <c r="C141" t="s">
        <v>3</v>
      </c>
      <c r="D141" t="s">
        <v>449</v>
      </c>
      <c r="E141" t="s">
        <v>1031</v>
      </c>
      <c r="G141" t="s">
        <v>940</v>
      </c>
      <c r="H141" t="s">
        <v>40</v>
      </c>
      <c r="I141" t="s">
        <v>1547</v>
      </c>
      <c r="J141" t="s">
        <v>1947</v>
      </c>
      <c r="K141" t="s">
        <v>2101</v>
      </c>
      <c r="L141" t="s">
        <v>2102</v>
      </c>
      <c r="M141" t="s">
        <v>1947</v>
      </c>
      <c r="N141" t="s">
        <v>2103</v>
      </c>
      <c r="S141" t="s">
        <v>2503</v>
      </c>
      <c r="V141">
        <v>0</v>
      </c>
    </row>
    <row r="142" spans="3:25" x14ac:dyDescent="0.4">
      <c r="C142" t="s">
        <v>4</v>
      </c>
      <c r="D142" t="s">
        <v>450</v>
      </c>
      <c r="E142" t="s">
        <v>1032</v>
      </c>
      <c r="G142" t="s">
        <v>1541</v>
      </c>
      <c r="H142" t="s">
        <v>44</v>
      </c>
      <c r="I142" t="s">
        <v>1548</v>
      </c>
      <c r="J142" t="s">
        <v>1948</v>
      </c>
      <c r="K142" t="s">
        <v>2104</v>
      </c>
      <c r="L142" t="s">
        <v>2105</v>
      </c>
      <c r="M142" t="s">
        <v>2106</v>
      </c>
      <c r="N142" t="s">
        <v>2107</v>
      </c>
      <c r="S142" t="s">
        <v>2504</v>
      </c>
      <c r="V142">
        <v>0</v>
      </c>
    </row>
    <row r="143" spans="3:25" x14ac:dyDescent="0.4">
      <c r="C143" t="s">
        <v>4</v>
      </c>
      <c r="D143" t="s">
        <v>451</v>
      </c>
      <c r="E143" t="s">
        <v>1033</v>
      </c>
      <c r="G143" t="s">
        <v>963</v>
      </c>
      <c r="H143" t="s">
        <v>37</v>
      </c>
      <c r="I143" t="s">
        <v>1549</v>
      </c>
      <c r="J143" t="s">
        <v>1949</v>
      </c>
      <c r="K143" t="s">
        <v>2108</v>
      </c>
      <c r="L143" t="s">
        <v>2109</v>
      </c>
      <c r="M143" t="s">
        <v>1949</v>
      </c>
      <c r="N143" t="s">
        <v>2110</v>
      </c>
      <c r="S143" t="s">
        <v>2503</v>
      </c>
      <c r="U143" s="91">
        <v>47410</v>
      </c>
      <c r="V143">
        <v>0</v>
      </c>
      <c r="Y143" t="s">
        <v>29</v>
      </c>
    </row>
    <row r="144" spans="3:25" x14ac:dyDescent="0.4">
      <c r="C144" t="s">
        <v>3</v>
      </c>
      <c r="D144" t="s">
        <v>452</v>
      </c>
      <c r="E144" t="s">
        <v>1034</v>
      </c>
      <c r="G144" t="s">
        <v>1154</v>
      </c>
      <c r="H144" t="s">
        <v>37</v>
      </c>
      <c r="J144">
        <v>0</v>
      </c>
      <c r="K144">
        <v>0</v>
      </c>
      <c r="L144">
        <v>0</v>
      </c>
      <c r="M144">
        <v>0</v>
      </c>
      <c r="N144">
        <v>0</v>
      </c>
      <c r="S144" t="s">
        <v>2503</v>
      </c>
      <c r="V144">
        <v>0</v>
      </c>
    </row>
    <row r="145" spans="3:24" x14ac:dyDescent="0.4">
      <c r="C145" t="s">
        <v>3</v>
      </c>
      <c r="D145" t="s">
        <v>453</v>
      </c>
      <c r="E145" t="s">
        <v>1035</v>
      </c>
      <c r="G145" t="s">
        <v>1489</v>
      </c>
      <c r="H145" t="s">
        <v>37</v>
      </c>
      <c r="J145">
        <v>0</v>
      </c>
      <c r="K145">
        <v>0</v>
      </c>
      <c r="L145">
        <v>0</v>
      </c>
      <c r="M145">
        <v>0</v>
      </c>
      <c r="N145">
        <v>0</v>
      </c>
      <c r="S145" t="s">
        <v>2503</v>
      </c>
      <c r="V145">
        <v>0</v>
      </c>
    </row>
    <row r="146" spans="3:24" x14ac:dyDescent="0.4">
      <c r="C146" t="s">
        <v>4</v>
      </c>
      <c r="D146" t="s">
        <v>454</v>
      </c>
      <c r="E146" t="s">
        <v>1036</v>
      </c>
      <c r="G146" t="s">
        <v>1541</v>
      </c>
      <c r="H146" t="s">
        <v>44</v>
      </c>
      <c r="J146">
        <v>0</v>
      </c>
      <c r="K146">
        <v>0</v>
      </c>
      <c r="L146">
        <v>0</v>
      </c>
      <c r="M146">
        <v>0</v>
      </c>
      <c r="N146">
        <v>0</v>
      </c>
      <c r="S146" t="s">
        <v>2504</v>
      </c>
      <c r="U146" s="91">
        <v>46042</v>
      </c>
      <c r="V146">
        <v>0</v>
      </c>
    </row>
    <row r="147" spans="3:24" x14ac:dyDescent="0.4">
      <c r="C147" t="s">
        <v>3</v>
      </c>
      <c r="D147" t="s">
        <v>455</v>
      </c>
      <c r="E147" t="s">
        <v>1037</v>
      </c>
      <c r="G147" t="s">
        <v>1550</v>
      </c>
      <c r="H147" t="s">
        <v>44</v>
      </c>
      <c r="J147">
        <v>0</v>
      </c>
      <c r="K147">
        <v>0</v>
      </c>
      <c r="L147">
        <v>0</v>
      </c>
      <c r="M147">
        <v>0</v>
      </c>
      <c r="N147">
        <v>0</v>
      </c>
      <c r="S147" t="s">
        <v>2503</v>
      </c>
      <c r="V147">
        <v>0</v>
      </c>
    </row>
    <row r="148" spans="3:24" x14ac:dyDescent="0.4">
      <c r="C148" t="s">
        <v>4</v>
      </c>
      <c r="D148" t="s">
        <v>456</v>
      </c>
      <c r="E148" t="s">
        <v>1038</v>
      </c>
      <c r="G148" t="s">
        <v>963</v>
      </c>
      <c r="H148" t="s">
        <v>37</v>
      </c>
      <c r="J148">
        <v>0</v>
      </c>
      <c r="K148">
        <v>0</v>
      </c>
      <c r="L148">
        <v>0</v>
      </c>
      <c r="M148">
        <v>0</v>
      </c>
      <c r="N148">
        <v>0</v>
      </c>
      <c r="S148" t="s">
        <v>2503</v>
      </c>
      <c r="V148">
        <v>0</v>
      </c>
    </row>
    <row r="149" spans="3:24" x14ac:dyDescent="0.4">
      <c r="C149" t="s">
        <v>3</v>
      </c>
      <c r="D149" t="s">
        <v>457</v>
      </c>
      <c r="E149" t="s">
        <v>1039</v>
      </c>
      <c r="G149" t="s">
        <v>963</v>
      </c>
      <c r="H149" t="s">
        <v>37</v>
      </c>
      <c r="J149">
        <v>0</v>
      </c>
      <c r="K149">
        <v>0</v>
      </c>
      <c r="L149">
        <v>0</v>
      </c>
      <c r="M149">
        <v>0</v>
      </c>
      <c r="N149">
        <v>0</v>
      </c>
      <c r="S149" t="s">
        <v>2503</v>
      </c>
      <c r="V149">
        <v>0</v>
      </c>
    </row>
    <row r="150" spans="3:24" x14ac:dyDescent="0.4">
      <c r="C150" t="s">
        <v>3</v>
      </c>
      <c r="D150" t="s">
        <v>458</v>
      </c>
      <c r="E150" t="s">
        <v>1040</v>
      </c>
      <c r="G150" t="s">
        <v>1551</v>
      </c>
      <c r="H150" t="s">
        <v>37</v>
      </c>
      <c r="J150">
        <v>0</v>
      </c>
      <c r="K150">
        <v>0</v>
      </c>
      <c r="L150">
        <v>0</v>
      </c>
      <c r="M150">
        <v>0</v>
      </c>
      <c r="N150">
        <v>0</v>
      </c>
      <c r="S150" t="s">
        <v>2503</v>
      </c>
      <c r="V150">
        <v>0</v>
      </c>
    </row>
    <row r="151" spans="3:24" x14ac:dyDescent="0.4">
      <c r="C151" t="s">
        <v>3</v>
      </c>
      <c r="D151" t="s">
        <v>459</v>
      </c>
      <c r="E151" t="s">
        <v>1041</v>
      </c>
      <c r="G151" t="s">
        <v>966</v>
      </c>
      <c r="H151" t="s">
        <v>38</v>
      </c>
      <c r="I151" t="s">
        <v>1552</v>
      </c>
      <c r="J151">
        <v>0</v>
      </c>
      <c r="K151">
        <v>0</v>
      </c>
      <c r="L151">
        <v>0</v>
      </c>
      <c r="M151">
        <v>0</v>
      </c>
      <c r="N151">
        <v>0</v>
      </c>
      <c r="S151" t="s">
        <v>2503</v>
      </c>
      <c r="V151">
        <v>0</v>
      </c>
    </row>
    <row r="152" spans="3:24" x14ac:dyDescent="0.4">
      <c r="C152" t="s">
        <v>3</v>
      </c>
      <c r="D152" t="s">
        <v>460</v>
      </c>
      <c r="E152" t="s">
        <v>940</v>
      </c>
      <c r="G152" t="s">
        <v>54</v>
      </c>
      <c r="H152" t="s">
        <v>40</v>
      </c>
      <c r="J152">
        <v>0</v>
      </c>
      <c r="K152">
        <v>0</v>
      </c>
      <c r="L152">
        <v>0</v>
      </c>
      <c r="M152">
        <v>0</v>
      </c>
      <c r="N152">
        <v>0</v>
      </c>
      <c r="S152" t="s">
        <v>2503</v>
      </c>
      <c r="V152">
        <v>0</v>
      </c>
    </row>
    <row r="153" spans="3:24" x14ac:dyDescent="0.4">
      <c r="C153" t="s">
        <v>3</v>
      </c>
      <c r="D153" t="s">
        <v>461</v>
      </c>
      <c r="E153" t="s">
        <v>1042</v>
      </c>
      <c r="G153" t="s">
        <v>940</v>
      </c>
      <c r="H153" t="s">
        <v>40</v>
      </c>
      <c r="J153">
        <v>0</v>
      </c>
      <c r="K153">
        <v>0</v>
      </c>
      <c r="L153">
        <v>0</v>
      </c>
      <c r="M153">
        <v>0</v>
      </c>
      <c r="N153">
        <v>0</v>
      </c>
      <c r="S153" t="s">
        <v>2503</v>
      </c>
      <c r="V153">
        <v>0</v>
      </c>
    </row>
    <row r="154" spans="3:24" x14ac:dyDescent="0.4">
      <c r="C154" t="s">
        <v>4</v>
      </c>
      <c r="D154" t="s">
        <v>462</v>
      </c>
      <c r="E154" t="s">
        <v>1043</v>
      </c>
      <c r="G154" t="s">
        <v>1423</v>
      </c>
      <c r="H154" t="s">
        <v>35</v>
      </c>
      <c r="J154">
        <v>0</v>
      </c>
      <c r="K154">
        <v>0</v>
      </c>
      <c r="L154">
        <v>0</v>
      </c>
      <c r="M154">
        <v>0</v>
      </c>
      <c r="N154">
        <v>0</v>
      </c>
      <c r="S154" t="s">
        <v>2504</v>
      </c>
      <c r="U154" s="91" t="s">
        <v>2513</v>
      </c>
      <c r="V154" t="s">
        <v>2519</v>
      </c>
      <c r="X154" s="4">
        <v>300000</v>
      </c>
    </row>
    <row r="155" spans="3:24" x14ac:dyDescent="0.4">
      <c r="C155" t="s">
        <v>3</v>
      </c>
      <c r="D155" t="s">
        <v>463</v>
      </c>
      <c r="E155" t="s">
        <v>1044</v>
      </c>
      <c r="G155" t="s">
        <v>963</v>
      </c>
      <c r="H155" t="s">
        <v>37</v>
      </c>
      <c r="J155">
        <v>0</v>
      </c>
      <c r="K155">
        <v>0</v>
      </c>
      <c r="L155">
        <v>0</v>
      </c>
      <c r="M155">
        <v>0</v>
      </c>
      <c r="N155">
        <v>0</v>
      </c>
      <c r="S155" t="s">
        <v>2503</v>
      </c>
      <c r="V155">
        <v>0</v>
      </c>
    </row>
    <row r="156" spans="3:24" x14ac:dyDescent="0.4">
      <c r="C156" t="s">
        <v>3</v>
      </c>
      <c r="D156" t="s">
        <v>464</v>
      </c>
      <c r="E156" t="s">
        <v>1045</v>
      </c>
      <c r="G156" t="s">
        <v>940</v>
      </c>
      <c r="H156" t="s">
        <v>40</v>
      </c>
      <c r="I156" t="s">
        <v>1553</v>
      </c>
      <c r="J156">
        <v>0</v>
      </c>
      <c r="K156">
        <v>0</v>
      </c>
      <c r="L156">
        <v>0</v>
      </c>
      <c r="M156">
        <v>0</v>
      </c>
      <c r="N156">
        <v>0</v>
      </c>
      <c r="S156" t="s">
        <v>2503</v>
      </c>
      <c r="V156">
        <v>0</v>
      </c>
    </row>
    <row r="157" spans="3:24" x14ac:dyDescent="0.4">
      <c r="C157" t="s">
        <v>3</v>
      </c>
      <c r="D157" t="s">
        <v>465</v>
      </c>
      <c r="E157" t="s">
        <v>940</v>
      </c>
      <c r="G157" t="s">
        <v>54</v>
      </c>
      <c r="H157" t="s">
        <v>40</v>
      </c>
      <c r="J157">
        <v>0</v>
      </c>
      <c r="K157">
        <v>0</v>
      </c>
      <c r="L157">
        <v>0</v>
      </c>
      <c r="M157">
        <v>0</v>
      </c>
      <c r="N157">
        <v>0</v>
      </c>
      <c r="S157" t="s">
        <v>2503</v>
      </c>
      <c r="V157">
        <v>0</v>
      </c>
    </row>
    <row r="158" spans="3:24" x14ac:dyDescent="0.4">
      <c r="C158" t="s">
        <v>4</v>
      </c>
      <c r="D158" t="s">
        <v>466</v>
      </c>
      <c r="E158" t="s">
        <v>1046</v>
      </c>
      <c r="G158" t="s">
        <v>940</v>
      </c>
      <c r="H158" t="s">
        <v>40</v>
      </c>
      <c r="J158">
        <v>0</v>
      </c>
      <c r="K158">
        <v>0</v>
      </c>
      <c r="L158">
        <v>0</v>
      </c>
      <c r="M158">
        <v>0</v>
      </c>
      <c r="N158">
        <v>0</v>
      </c>
      <c r="S158" t="s">
        <v>2504</v>
      </c>
      <c r="V158">
        <v>0</v>
      </c>
    </row>
    <row r="159" spans="3:24" x14ac:dyDescent="0.4">
      <c r="C159" t="s">
        <v>3</v>
      </c>
      <c r="D159" t="s">
        <v>467</v>
      </c>
      <c r="E159" t="s">
        <v>54</v>
      </c>
      <c r="H159" t="s">
        <v>40</v>
      </c>
      <c r="J159">
        <v>0</v>
      </c>
      <c r="K159">
        <v>0</v>
      </c>
      <c r="L159">
        <v>0</v>
      </c>
      <c r="M159">
        <v>0</v>
      </c>
      <c r="N159">
        <v>0</v>
      </c>
      <c r="S159" t="s">
        <v>2503</v>
      </c>
      <c r="V159">
        <v>0</v>
      </c>
    </row>
    <row r="160" spans="3:24" x14ac:dyDescent="0.4">
      <c r="C160" t="s">
        <v>3</v>
      </c>
      <c r="D160" t="s">
        <v>468</v>
      </c>
      <c r="E160" t="s">
        <v>1047</v>
      </c>
      <c r="G160" t="s">
        <v>1417</v>
      </c>
      <c r="H160" t="s">
        <v>35</v>
      </c>
      <c r="J160">
        <v>0</v>
      </c>
      <c r="K160">
        <v>0</v>
      </c>
      <c r="L160">
        <v>0</v>
      </c>
      <c r="M160">
        <v>0</v>
      </c>
      <c r="N160">
        <v>0</v>
      </c>
      <c r="S160" t="s">
        <v>2503</v>
      </c>
      <c r="V160">
        <v>0</v>
      </c>
    </row>
    <row r="161" spans="3:22" x14ac:dyDescent="0.4">
      <c r="C161" t="s">
        <v>3</v>
      </c>
      <c r="D161" t="s">
        <v>469</v>
      </c>
      <c r="E161" t="s">
        <v>1048</v>
      </c>
      <c r="G161" t="s">
        <v>963</v>
      </c>
      <c r="H161" t="s">
        <v>37</v>
      </c>
      <c r="J161">
        <v>0</v>
      </c>
      <c r="K161">
        <v>0</v>
      </c>
      <c r="L161">
        <v>0</v>
      </c>
      <c r="M161">
        <v>0</v>
      </c>
      <c r="N161">
        <v>0</v>
      </c>
      <c r="S161" t="s">
        <v>2503</v>
      </c>
      <c r="V161">
        <v>0</v>
      </c>
    </row>
    <row r="162" spans="3:22" x14ac:dyDescent="0.4">
      <c r="C162" t="s">
        <v>3</v>
      </c>
      <c r="D162" t="s">
        <v>470</v>
      </c>
      <c r="E162" t="s">
        <v>966</v>
      </c>
      <c r="G162" t="s">
        <v>52</v>
      </c>
      <c r="H162" t="s">
        <v>38</v>
      </c>
      <c r="J162">
        <v>0</v>
      </c>
      <c r="K162">
        <v>0</v>
      </c>
      <c r="L162">
        <v>0</v>
      </c>
      <c r="M162">
        <v>0</v>
      </c>
      <c r="N162">
        <v>0</v>
      </c>
      <c r="S162" t="s">
        <v>2503</v>
      </c>
      <c r="V162">
        <v>0</v>
      </c>
    </row>
    <row r="163" spans="3:22" x14ac:dyDescent="0.4">
      <c r="C163" t="s">
        <v>4</v>
      </c>
      <c r="D163" t="s">
        <v>471</v>
      </c>
      <c r="E163" t="s">
        <v>963</v>
      </c>
      <c r="G163" t="s">
        <v>963</v>
      </c>
      <c r="H163" t="s">
        <v>37</v>
      </c>
      <c r="J163">
        <v>0</v>
      </c>
      <c r="K163">
        <v>0</v>
      </c>
      <c r="L163">
        <v>0</v>
      </c>
      <c r="M163">
        <v>0</v>
      </c>
      <c r="N163">
        <v>0</v>
      </c>
      <c r="S163" t="s">
        <v>2504</v>
      </c>
      <c r="V163">
        <v>0</v>
      </c>
    </row>
    <row r="164" spans="3:22" x14ac:dyDescent="0.4">
      <c r="C164" t="s">
        <v>3</v>
      </c>
      <c r="D164" t="s">
        <v>472</v>
      </c>
      <c r="E164" t="s">
        <v>1049</v>
      </c>
      <c r="G164" t="s">
        <v>963</v>
      </c>
      <c r="H164" t="s">
        <v>37</v>
      </c>
      <c r="J164">
        <v>0</v>
      </c>
      <c r="K164">
        <v>0</v>
      </c>
      <c r="L164">
        <v>0</v>
      </c>
      <c r="M164">
        <v>0</v>
      </c>
      <c r="N164">
        <v>0</v>
      </c>
      <c r="S164" t="s">
        <v>2503</v>
      </c>
      <c r="V164">
        <v>0</v>
      </c>
    </row>
    <row r="165" spans="3:22" x14ac:dyDescent="0.4">
      <c r="C165" t="s">
        <v>3</v>
      </c>
      <c r="D165" t="s">
        <v>473</v>
      </c>
      <c r="E165" t="s">
        <v>1050</v>
      </c>
      <c r="G165" t="s">
        <v>940</v>
      </c>
      <c r="H165" t="s">
        <v>40</v>
      </c>
      <c r="J165">
        <v>0</v>
      </c>
      <c r="K165">
        <v>0</v>
      </c>
      <c r="L165">
        <v>0</v>
      </c>
      <c r="M165">
        <v>0</v>
      </c>
      <c r="N165">
        <v>0</v>
      </c>
      <c r="S165" t="s">
        <v>2503</v>
      </c>
      <c r="V165">
        <v>0</v>
      </c>
    </row>
    <row r="166" spans="3:22" x14ac:dyDescent="0.4">
      <c r="C166" t="s">
        <v>4</v>
      </c>
      <c r="D166" t="s">
        <v>474</v>
      </c>
      <c r="E166" t="s">
        <v>1051</v>
      </c>
      <c r="G166" t="s">
        <v>963</v>
      </c>
      <c r="H166" t="s">
        <v>37</v>
      </c>
      <c r="J166" t="s">
        <v>1950</v>
      </c>
      <c r="K166">
        <v>0</v>
      </c>
      <c r="L166">
        <v>0</v>
      </c>
      <c r="M166" t="s">
        <v>1950</v>
      </c>
      <c r="N166" t="s">
        <v>2111</v>
      </c>
      <c r="S166" t="s">
        <v>2503</v>
      </c>
      <c r="V166">
        <v>0</v>
      </c>
    </row>
    <row r="167" spans="3:22" x14ac:dyDescent="0.4">
      <c r="C167" t="s">
        <v>3</v>
      </c>
      <c r="D167" t="s">
        <v>475</v>
      </c>
      <c r="E167" t="s">
        <v>1052</v>
      </c>
      <c r="G167" t="s">
        <v>963</v>
      </c>
      <c r="H167" t="s">
        <v>37</v>
      </c>
      <c r="J167">
        <v>0</v>
      </c>
      <c r="K167">
        <v>0</v>
      </c>
      <c r="L167">
        <v>0</v>
      </c>
      <c r="M167">
        <v>0</v>
      </c>
      <c r="N167">
        <v>0</v>
      </c>
      <c r="S167" t="s">
        <v>2503</v>
      </c>
      <c r="V167">
        <v>0</v>
      </c>
    </row>
    <row r="168" spans="3:22" x14ac:dyDescent="0.4">
      <c r="C168" t="s">
        <v>3</v>
      </c>
      <c r="D168" t="s">
        <v>476</v>
      </c>
      <c r="E168" t="s">
        <v>1053</v>
      </c>
      <c r="G168" t="s">
        <v>963</v>
      </c>
      <c r="H168" t="s">
        <v>37</v>
      </c>
      <c r="J168">
        <v>0</v>
      </c>
      <c r="K168">
        <v>0</v>
      </c>
      <c r="L168">
        <v>0</v>
      </c>
      <c r="M168">
        <v>0</v>
      </c>
      <c r="N168">
        <v>0</v>
      </c>
      <c r="S168" t="s">
        <v>2503</v>
      </c>
      <c r="V168">
        <v>0</v>
      </c>
    </row>
    <row r="169" spans="3:22" x14ac:dyDescent="0.4">
      <c r="C169" t="s">
        <v>4</v>
      </c>
      <c r="D169" t="s">
        <v>477</v>
      </c>
      <c r="E169" t="s">
        <v>1054</v>
      </c>
      <c r="G169" t="s">
        <v>1417</v>
      </c>
      <c r="H169" t="s">
        <v>35</v>
      </c>
      <c r="I169" t="s">
        <v>1554</v>
      </c>
      <c r="J169" t="s">
        <v>1951</v>
      </c>
      <c r="K169" t="s">
        <v>2112</v>
      </c>
      <c r="L169" t="s">
        <v>2113</v>
      </c>
      <c r="M169" t="s">
        <v>1951</v>
      </c>
      <c r="N169" t="s">
        <v>2114</v>
      </c>
      <c r="S169" t="s">
        <v>2505</v>
      </c>
      <c r="U169" s="91" t="s">
        <v>2514</v>
      </c>
      <c r="V169" t="s">
        <v>2520</v>
      </c>
    </row>
    <row r="170" spans="3:22" x14ac:dyDescent="0.4">
      <c r="C170" t="s">
        <v>3</v>
      </c>
      <c r="D170" t="s">
        <v>478</v>
      </c>
      <c r="E170" t="s">
        <v>1055</v>
      </c>
      <c r="G170" t="s">
        <v>1423</v>
      </c>
      <c r="H170" t="s">
        <v>35</v>
      </c>
      <c r="J170">
        <v>0</v>
      </c>
      <c r="K170" t="s">
        <v>2115</v>
      </c>
      <c r="L170">
        <v>0</v>
      </c>
      <c r="M170">
        <v>0</v>
      </c>
      <c r="N170" t="s">
        <v>2116</v>
      </c>
      <c r="S170" t="s">
        <v>2503</v>
      </c>
      <c r="V170">
        <v>0</v>
      </c>
    </row>
    <row r="171" spans="3:22" x14ac:dyDescent="0.4">
      <c r="C171" t="s">
        <v>3</v>
      </c>
      <c r="D171" t="s">
        <v>479</v>
      </c>
      <c r="E171" t="s">
        <v>1056</v>
      </c>
      <c r="G171" t="s">
        <v>940</v>
      </c>
      <c r="H171" t="s">
        <v>40</v>
      </c>
      <c r="J171">
        <v>0</v>
      </c>
      <c r="K171">
        <v>0</v>
      </c>
      <c r="L171">
        <v>0</v>
      </c>
      <c r="M171">
        <v>0</v>
      </c>
      <c r="N171">
        <v>0</v>
      </c>
      <c r="S171" t="s">
        <v>2503</v>
      </c>
      <c r="V171">
        <v>0</v>
      </c>
    </row>
    <row r="172" spans="3:22" x14ac:dyDescent="0.4">
      <c r="C172" t="s">
        <v>3</v>
      </c>
      <c r="D172" t="s">
        <v>480</v>
      </c>
      <c r="E172" t="s">
        <v>1057</v>
      </c>
      <c r="G172" t="s">
        <v>940</v>
      </c>
      <c r="H172" t="s">
        <v>40</v>
      </c>
      <c r="I172" t="s">
        <v>1555</v>
      </c>
      <c r="J172">
        <v>0</v>
      </c>
      <c r="K172">
        <v>0</v>
      </c>
      <c r="L172">
        <v>0</v>
      </c>
      <c r="M172">
        <v>0</v>
      </c>
      <c r="N172">
        <v>0</v>
      </c>
      <c r="S172" t="s">
        <v>2503</v>
      </c>
      <c r="V172">
        <v>0</v>
      </c>
    </row>
    <row r="173" spans="3:22" x14ac:dyDescent="0.4">
      <c r="C173" t="s">
        <v>4</v>
      </c>
      <c r="D173" t="s">
        <v>481</v>
      </c>
      <c r="E173" t="s">
        <v>1058</v>
      </c>
      <c r="G173" t="s">
        <v>963</v>
      </c>
      <c r="H173" t="s">
        <v>37</v>
      </c>
      <c r="J173">
        <v>0</v>
      </c>
      <c r="K173">
        <v>0</v>
      </c>
      <c r="L173">
        <v>0</v>
      </c>
      <c r="M173">
        <v>0</v>
      </c>
      <c r="N173">
        <v>0</v>
      </c>
      <c r="S173" t="s">
        <v>2503</v>
      </c>
      <c r="U173" s="91">
        <v>45872</v>
      </c>
      <c r="V173" t="s">
        <v>2521</v>
      </c>
    </row>
    <row r="174" spans="3:22" x14ac:dyDescent="0.4">
      <c r="C174" t="s">
        <v>4</v>
      </c>
      <c r="D174" t="s">
        <v>482</v>
      </c>
      <c r="E174" t="s">
        <v>1059</v>
      </c>
      <c r="G174" t="s">
        <v>1556</v>
      </c>
      <c r="H174" t="s">
        <v>45</v>
      </c>
      <c r="J174">
        <v>0</v>
      </c>
      <c r="K174">
        <v>0</v>
      </c>
      <c r="L174">
        <v>0</v>
      </c>
      <c r="M174">
        <v>0</v>
      </c>
      <c r="N174">
        <v>0</v>
      </c>
      <c r="S174" t="s">
        <v>2503</v>
      </c>
      <c r="V174">
        <v>2951225958</v>
      </c>
    </row>
    <row r="175" spans="3:22" x14ac:dyDescent="0.4">
      <c r="C175" t="s">
        <v>3</v>
      </c>
      <c r="D175" t="s">
        <v>483</v>
      </c>
      <c r="E175" t="s">
        <v>1060</v>
      </c>
      <c r="G175" t="s">
        <v>1557</v>
      </c>
      <c r="H175" t="s">
        <v>44</v>
      </c>
      <c r="I175" t="s">
        <v>1558</v>
      </c>
      <c r="J175">
        <v>0</v>
      </c>
      <c r="K175">
        <v>0</v>
      </c>
      <c r="L175">
        <v>0</v>
      </c>
      <c r="M175">
        <v>0</v>
      </c>
      <c r="N175">
        <v>0</v>
      </c>
      <c r="S175" t="s">
        <v>2503</v>
      </c>
      <c r="V175">
        <v>0</v>
      </c>
    </row>
    <row r="176" spans="3:22" x14ac:dyDescent="0.4">
      <c r="C176" t="s">
        <v>3</v>
      </c>
      <c r="D176" t="s">
        <v>484</v>
      </c>
      <c r="E176" t="s">
        <v>1061</v>
      </c>
      <c r="G176" t="s">
        <v>963</v>
      </c>
      <c r="H176" t="s">
        <v>37</v>
      </c>
      <c r="I176" t="s">
        <v>1559</v>
      </c>
      <c r="J176">
        <v>0</v>
      </c>
      <c r="K176">
        <v>0</v>
      </c>
      <c r="L176">
        <v>0</v>
      </c>
      <c r="M176">
        <v>0</v>
      </c>
      <c r="N176">
        <v>0</v>
      </c>
      <c r="S176" t="s">
        <v>2503</v>
      </c>
      <c r="V176">
        <v>0</v>
      </c>
    </row>
    <row r="177" spans="3:24" x14ac:dyDescent="0.4">
      <c r="C177" t="s">
        <v>3</v>
      </c>
      <c r="D177" t="s">
        <v>485</v>
      </c>
      <c r="E177" t="s">
        <v>1062</v>
      </c>
      <c r="G177" t="s">
        <v>963</v>
      </c>
      <c r="H177" t="s">
        <v>37</v>
      </c>
      <c r="I177" t="s">
        <v>1560</v>
      </c>
      <c r="J177" t="s">
        <v>1952</v>
      </c>
      <c r="K177" t="s">
        <v>2117</v>
      </c>
      <c r="L177">
        <v>0</v>
      </c>
      <c r="M177" t="s">
        <v>1952</v>
      </c>
      <c r="N177" t="s">
        <v>2118</v>
      </c>
      <c r="S177" t="s">
        <v>2503</v>
      </c>
      <c r="V177">
        <v>0</v>
      </c>
    </row>
    <row r="178" spans="3:24" x14ac:dyDescent="0.4">
      <c r="C178" t="s">
        <v>4</v>
      </c>
      <c r="D178" t="s">
        <v>486</v>
      </c>
      <c r="E178" t="s">
        <v>1063</v>
      </c>
      <c r="G178" t="s">
        <v>940</v>
      </c>
      <c r="H178" t="s">
        <v>40</v>
      </c>
      <c r="J178">
        <v>0</v>
      </c>
      <c r="K178">
        <v>0</v>
      </c>
      <c r="L178">
        <v>0</v>
      </c>
      <c r="M178">
        <v>0</v>
      </c>
      <c r="N178">
        <v>0</v>
      </c>
      <c r="S178" t="s">
        <v>2505</v>
      </c>
      <c r="V178">
        <v>0</v>
      </c>
      <c r="X178" s="4">
        <v>300000</v>
      </c>
    </row>
    <row r="179" spans="3:24" x14ac:dyDescent="0.4">
      <c r="C179" t="s">
        <v>4</v>
      </c>
      <c r="D179" t="s">
        <v>487</v>
      </c>
      <c r="E179" t="s">
        <v>1064</v>
      </c>
      <c r="G179" t="s">
        <v>963</v>
      </c>
      <c r="H179" t="s">
        <v>37</v>
      </c>
      <c r="I179" t="s">
        <v>1561</v>
      </c>
      <c r="J179">
        <v>0</v>
      </c>
      <c r="K179">
        <v>0</v>
      </c>
      <c r="L179">
        <v>0</v>
      </c>
      <c r="M179">
        <v>0</v>
      </c>
      <c r="N179">
        <v>0</v>
      </c>
      <c r="S179" t="s">
        <v>2503</v>
      </c>
      <c r="U179" s="91">
        <v>46402</v>
      </c>
      <c r="V179" t="s">
        <v>2522</v>
      </c>
    </row>
    <row r="180" spans="3:24" x14ac:dyDescent="0.4">
      <c r="C180" t="s">
        <v>3</v>
      </c>
      <c r="D180" t="s">
        <v>488</v>
      </c>
      <c r="E180" t="s">
        <v>1065</v>
      </c>
      <c r="G180" t="s">
        <v>963</v>
      </c>
      <c r="H180" t="s">
        <v>37</v>
      </c>
      <c r="I180" t="s">
        <v>1562</v>
      </c>
      <c r="J180">
        <v>0</v>
      </c>
      <c r="K180">
        <v>0</v>
      </c>
      <c r="L180">
        <v>0</v>
      </c>
      <c r="M180">
        <v>0</v>
      </c>
      <c r="N180">
        <v>0</v>
      </c>
      <c r="S180" t="s">
        <v>2503</v>
      </c>
      <c r="V180">
        <v>0</v>
      </c>
    </row>
    <row r="181" spans="3:24" x14ac:dyDescent="0.4">
      <c r="C181" t="s">
        <v>3</v>
      </c>
      <c r="D181" t="s">
        <v>489</v>
      </c>
      <c r="E181" t="s">
        <v>1066</v>
      </c>
      <c r="G181" t="s">
        <v>940</v>
      </c>
      <c r="H181" t="s">
        <v>40</v>
      </c>
      <c r="J181">
        <v>0</v>
      </c>
      <c r="K181">
        <v>0</v>
      </c>
      <c r="L181">
        <v>0</v>
      </c>
      <c r="M181">
        <v>0</v>
      </c>
      <c r="N181">
        <v>0</v>
      </c>
      <c r="S181" t="s">
        <v>2503</v>
      </c>
      <c r="V181">
        <v>0</v>
      </c>
    </row>
    <row r="182" spans="3:24" x14ac:dyDescent="0.4">
      <c r="C182" t="s">
        <v>3</v>
      </c>
      <c r="D182" t="s">
        <v>490</v>
      </c>
      <c r="E182" t="s">
        <v>1067</v>
      </c>
      <c r="G182" t="s">
        <v>940</v>
      </c>
      <c r="H182" t="s">
        <v>40</v>
      </c>
      <c r="I182" t="s">
        <v>1563</v>
      </c>
      <c r="J182">
        <v>0</v>
      </c>
      <c r="K182">
        <v>0</v>
      </c>
      <c r="L182">
        <v>0</v>
      </c>
      <c r="M182">
        <v>0</v>
      </c>
      <c r="N182">
        <v>0</v>
      </c>
      <c r="S182" t="s">
        <v>2503</v>
      </c>
      <c r="V182">
        <v>0</v>
      </c>
    </row>
    <row r="183" spans="3:24" x14ac:dyDescent="0.4">
      <c r="C183" t="s">
        <v>3</v>
      </c>
      <c r="D183" t="s">
        <v>491</v>
      </c>
      <c r="G183" t="s">
        <v>963</v>
      </c>
      <c r="H183" t="s">
        <v>37</v>
      </c>
      <c r="I183" t="s">
        <v>1564</v>
      </c>
      <c r="J183">
        <v>0</v>
      </c>
      <c r="K183">
        <v>0</v>
      </c>
      <c r="L183">
        <v>0</v>
      </c>
      <c r="M183">
        <v>0</v>
      </c>
      <c r="N183">
        <v>0</v>
      </c>
      <c r="S183" t="s">
        <v>2503</v>
      </c>
      <c r="V183">
        <v>0</v>
      </c>
    </row>
    <row r="184" spans="3:24" x14ac:dyDescent="0.4">
      <c r="C184" t="s">
        <v>3</v>
      </c>
      <c r="D184" t="s">
        <v>492</v>
      </c>
      <c r="E184" t="s">
        <v>1068</v>
      </c>
      <c r="G184" t="s">
        <v>940</v>
      </c>
      <c r="H184" t="s">
        <v>40</v>
      </c>
      <c r="I184" t="s">
        <v>1565</v>
      </c>
      <c r="J184">
        <v>0</v>
      </c>
      <c r="K184">
        <v>0</v>
      </c>
      <c r="L184">
        <v>0</v>
      </c>
      <c r="M184">
        <v>0</v>
      </c>
      <c r="N184">
        <v>0</v>
      </c>
      <c r="S184" t="s">
        <v>2503</v>
      </c>
      <c r="V184">
        <v>0</v>
      </c>
    </row>
    <row r="185" spans="3:24" x14ac:dyDescent="0.4">
      <c r="C185" t="s">
        <v>3</v>
      </c>
      <c r="D185" t="s">
        <v>493</v>
      </c>
      <c r="E185" t="s">
        <v>1069</v>
      </c>
      <c r="G185" t="s">
        <v>1489</v>
      </c>
      <c r="H185" t="s">
        <v>37</v>
      </c>
      <c r="I185" t="s">
        <v>1566</v>
      </c>
      <c r="J185">
        <v>0</v>
      </c>
      <c r="K185">
        <v>0</v>
      </c>
      <c r="L185">
        <v>0</v>
      </c>
      <c r="M185">
        <v>0</v>
      </c>
      <c r="N185">
        <v>0</v>
      </c>
      <c r="S185" t="s">
        <v>2503</v>
      </c>
      <c r="V185">
        <v>0</v>
      </c>
    </row>
    <row r="186" spans="3:24" x14ac:dyDescent="0.4">
      <c r="C186" t="s">
        <v>3</v>
      </c>
      <c r="D186" t="s">
        <v>494</v>
      </c>
      <c r="E186" t="s">
        <v>1070</v>
      </c>
      <c r="G186" t="s">
        <v>1541</v>
      </c>
      <c r="H186" t="s">
        <v>44</v>
      </c>
      <c r="I186" t="s">
        <v>1567</v>
      </c>
      <c r="J186">
        <v>0</v>
      </c>
      <c r="K186">
        <v>0</v>
      </c>
      <c r="L186">
        <v>0</v>
      </c>
      <c r="M186">
        <v>0</v>
      </c>
      <c r="N186">
        <v>0</v>
      </c>
      <c r="S186" t="s">
        <v>2503</v>
      </c>
      <c r="V186">
        <v>0</v>
      </c>
    </row>
    <row r="187" spans="3:24" x14ac:dyDescent="0.4">
      <c r="C187" t="s">
        <v>3</v>
      </c>
      <c r="D187" t="s">
        <v>495</v>
      </c>
      <c r="E187" t="s">
        <v>1071</v>
      </c>
      <c r="G187" t="s">
        <v>963</v>
      </c>
      <c r="H187" t="s">
        <v>37</v>
      </c>
      <c r="I187" t="s">
        <v>1568</v>
      </c>
      <c r="J187">
        <v>0</v>
      </c>
      <c r="K187">
        <v>0</v>
      </c>
      <c r="L187">
        <v>0</v>
      </c>
      <c r="M187">
        <v>0</v>
      </c>
      <c r="N187">
        <v>0</v>
      </c>
      <c r="S187" t="s">
        <v>2503</v>
      </c>
      <c r="V187">
        <v>0</v>
      </c>
    </row>
    <row r="188" spans="3:24" x14ac:dyDescent="0.4">
      <c r="C188" t="s">
        <v>3</v>
      </c>
      <c r="D188" t="s">
        <v>496</v>
      </c>
      <c r="E188" t="s">
        <v>1072</v>
      </c>
      <c r="G188" t="s">
        <v>1569</v>
      </c>
      <c r="H188" t="s">
        <v>1537</v>
      </c>
      <c r="I188" t="s">
        <v>1570</v>
      </c>
      <c r="J188">
        <v>0</v>
      </c>
      <c r="K188">
        <v>0</v>
      </c>
      <c r="L188">
        <v>0</v>
      </c>
      <c r="M188">
        <v>0</v>
      </c>
      <c r="N188">
        <v>0</v>
      </c>
      <c r="S188" t="s">
        <v>2503</v>
      </c>
      <c r="V188">
        <v>0</v>
      </c>
    </row>
    <row r="189" spans="3:24" x14ac:dyDescent="0.4">
      <c r="C189" t="s">
        <v>3</v>
      </c>
      <c r="D189" t="s">
        <v>497</v>
      </c>
      <c r="E189" t="s">
        <v>1073</v>
      </c>
      <c r="G189" t="s">
        <v>1571</v>
      </c>
      <c r="H189" t="s">
        <v>37</v>
      </c>
      <c r="J189">
        <v>0</v>
      </c>
      <c r="K189">
        <v>0</v>
      </c>
      <c r="L189">
        <v>0</v>
      </c>
      <c r="M189">
        <v>0</v>
      </c>
      <c r="N189">
        <v>0</v>
      </c>
      <c r="S189" t="s">
        <v>2503</v>
      </c>
      <c r="V189">
        <v>0</v>
      </c>
    </row>
    <row r="190" spans="3:24" x14ac:dyDescent="0.4">
      <c r="C190" t="s">
        <v>3</v>
      </c>
      <c r="D190" t="s">
        <v>498</v>
      </c>
      <c r="E190" t="s">
        <v>1074</v>
      </c>
      <c r="G190" t="s">
        <v>1417</v>
      </c>
      <c r="H190" t="s">
        <v>35</v>
      </c>
      <c r="I190" t="s">
        <v>1572</v>
      </c>
      <c r="J190">
        <v>0</v>
      </c>
      <c r="K190">
        <v>0</v>
      </c>
      <c r="L190">
        <v>0</v>
      </c>
      <c r="M190">
        <v>0</v>
      </c>
      <c r="N190">
        <v>0</v>
      </c>
      <c r="S190" t="s">
        <v>2503</v>
      </c>
      <c r="V190">
        <v>0</v>
      </c>
    </row>
    <row r="191" spans="3:24" x14ac:dyDescent="0.4">
      <c r="C191" t="s">
        <v>3</v>
      </c>
      <c r="D191" t="s">
        <v>499</v>
      </c>
      <c r="E191" t="s">
        <v>1075</v>
      </c>
      <c r="G191" t="s">
        <v>940</v>
      </c>
      <c r="H191" t="s">
        <v>40</v>
      </c>
      <c r="I191" t="s">
        <v>1573</v>
      </c>
      <c r="J191">
        <v>0</v>
      </c>
      <c r="K191">
        <v>0</v>
      </c>
      <c r="L191">
        <v>0</v>
      </c>
      <c r="M191">
        <v>0</v>
      </c>
      <c r="N191">
        <v>0</v>
      </c>
      <c r="S191" t="s">
        <v>2503</v>
      </c>
      <c r="V191">
        <v>0</v>
      </c>
    </row>
    <row r="192" spans="3:24" x14ac:dyDescent="0.4">
      <c r="C192" t="s">
        <v>4</v>
      </c>
      <c r="D192" t="s">
        <v>500</v>
      </c>
      <c r="G192" t="s">
        <v>940</v>
      </c>
      <c r="H192" t="s">
        <v>40</v>
      </c>
      <c r="J192">
        <v>0</v>
      </c>
      <c r="K192">
        <v>0</v>
      </c>
      <c r="L192">
        <v>0</v>
      </c>
      <c r="M192">
        <v>0</v>
      </c>
      <c r="N192">
        <v>0</v>
      </c>
      <c r="S192" t="s">
        <v>2503</v>
      </c>
      <c r="V192">
        <v>0</v>
      </c>
    </row>
    <row r="193" spans="3:22" x14ac:dyDescent="0.4">
      <c r="C193" t="s">
        <v>3</v>
      </c>
      <c r="D193" t="s">
        <v>501</v>
      </c>
      <c r="E193" t="s">
        <v>1076</v>
      </c>
      <c r="G193" t="s">
        <v>940</v>
      </c>
      <c r="H193" t="s">
        <v>40</v>
      </c>
      <c r="J193">
        <v>0</v>
      </c>
      <c r="K193">
        <v>0</v>
      </c>
      <c r="L193">
        <v>0</v>
      </c>
      <c r="M193">
        <v>0</v>
      </c>
      <c r="N193">
        <v>0</v>
      </c>
      <c r="S193" t="s">
        <v>2503</v>
      </c>
      <c r="V193">
        <v>0</v>
      </c>
    </row>
    <row r="194" spans="3:22" x14ac:dyDescent="0.4">
      <c r="C194" t="s">
        <v>4</v>
      </c>
      <c r="D194" t="s">
        <v>502</v>
      </c>
      <c r="E194" t="s">
        <v>1077</v>
      </c>
      <c r="G194" t="s">
        <v>963</v>
      </c>
      <c r="H194" t="s">
        <v>37</v>
      </c>
      <c r="J194">
        <v>0</v>
      </c>
      <c r="K194">
        <v>0</v>
      </c>
      <c r="L194">
        <v>0</v>
      </c>
      <c r="M194">
        <v>0</v>
      </c>
      <c r="N194">
        <v>0</v>
      </c>
      <c r="S194" t="s">
        <v>2503</v>
      </c>
      <c r="V194">
        <v>0</v>
      </c>
    </row>
    <row r="195" spans="3:22" x14ac:dyDescent="0.4">
      <c r="C195" t="s">
        <v>4</v>
      </c>
      <c r="D195" t="s">
        <v>503</v>
      </c>
      <c r="E195" t="s">
        <v>1078</v>
      </c>
      <c r="G195" t="s">
        <v>940</v>
      </c>
      <c r="H195" t="s">
        <v>40</v>
      </c>
      <c r="I195" t="s">
        <v>1574</v>
      </c>
      <c r="J195">
        <v>0</v>
      </c>
      <c r="K195">
        <v>0</v>
      </c>
      <c r="L195">
        <v>0</v>
      </c>
      <c r="M195">
        <v>0</v>
      </c>
      <c r="N195">
        <v>0</v>
      </c>
      <c r="S195" t="s">
        <v>2504</v>
      </c>
      <c r="V195" t="s">
        <v>2523</v>
      </c>
    </row>
    <row r="196" spans="3:22" x14ac:dyDescent="0.4">
      <c r="C196" t="s">
        <v>3</v>
      </c>
      <c r="D196" t="s">
        <v>504</v>
      </c>
      <c r="E196" t="s">
        <v>1079</v>
      </c>
      <c r="G196" t="s">
        <v>963</v>
      </c>
      <c r="H196" t="s">
        <v>37</v>
      </c>
      <c r="I196" t="s">
        <v>1575</v>
      </c>
      <c r="J196">
        <v>0</v>
      </c>
      <c r="K196">
        <v>0</v>
      </c>
      <c r="L196">
        <v>0</v>
      </c>
      <c r="M196">
        <v>0</v>
      </c>
      <c r="N196" t="s">
        <v>2119</v>
      </c>
      <c r="S196" t="s">
        <v>2503</v>
      </c>
      <c r="U196" s="91">
        <v>46682</v>
      </c>
      <c r="V196" t="s">
        <v>2524</v>
      </c>
    </row>
    <row r="197" spans="3:22" x14ac:dyDescent="0.4">
      <c r="C197" t="s">
        <v>3</v>
      </c>
      <c r="D197" t="s">
        <v>505</v>
      </c>
      <c r="E197" t="s">
        <v>1080</v>
      </c>
      <c r="G197" t="s">
        <v>1489</v>
      </c>
      <c r="H197" t="s">
        <v>37</v>
      </c>
      <c r="I197" t="s">
        <v>1576</v>
      </c>
      <c r="J197">
        <v>0</v>
      </c>
      <c r="K197">
        <v>0</v>
      </c>
      <c r="L197">
        <v>0</v>
      </c>
      <c r="M197">
        <v>0</v>
      </c>
      <c r="N197">
        <v>0</v>
      </c>
      <c r="S197" t="s">
        <v>2503</v>
      </c>
      <c r="V197">
        <v>0</v>
      </c>
    </row>
    <row r="198" spans="3:22" x14ac:dyDescent="0.4">
      <c r="C198" t="s">
        <v>4</v>
      </c>
      <c r="D198" t="s">
        <v>506</v>
      </c>
      <c r="E198" t="s">
        <v>1081</v>
      </c>
      <c r="G198" t="s">
        <v>963</v>
      </c>
      <c r="H198" t="s">
        <v>37</v>
      </c>
      <c r="I198" t="s">
        <v>1577</v>
      </c>
      <c r="J198">
        <v>0</v>
      </c>
      <c r="K198">
        <v>0</v>
      </c>
      <c r="L198">
        <v>0</v>
      </c>
      <c r="M198">
        <v>0</v>
      </c>
      <c r="N198">
        <v>0</v>
      </c>
      <c r="S198" t="s">
        <v>2503</v>
      </c>
      <c r="U198" s="91">
        <v>46258</v>
      </c>
      <c r="V198" t="s">
        <v>2525</v>
      </c>
    </row>
    <row r="199" spans="3:22" x14ac:dyDescent="0.4">
      <c r="C199" t="s">
        <v>4</v>
      </c>
      <c r="D199" t="s">
        <v>507</v>
      </c>
      <c r="E199" t="s">
        <v>1082</v>
      </c>
      <c r="G199" t="s">
        <v>963</v>
      </c>
      <c r="H199" t="s">
        <v>37</v>
      </c>
      <c r="I199" t="s">
        <v>1578</v>
      </c>
      <c r="J199">
        <v>0</v>
      </c>
      <c r="K199">
        <v>0</v>
      </c>
      <c r="L199">
        <v>0</v>
      </c>
      <c r="M199">
        <v>0</v>
      </c>
      <c r="N199" t="s">
        <v>2120</v>
      </c>
      <c r="S199" t="s">
        <v>2503</v>
      </c>
      <c r="V199" t="s">
        <v>2526</v>
      </c>
    </row>
    <row r="200" spans="3:22" x14ac:dyDescent="0.4">
      <c r="C200" t="s">
        <v>4</v>
      </c>
      <c r="D200" t="s">
        <v>508</v>
      </c>
      <c r="E200" t="s">
        <v>1083</v>
      </c>
      <c r="G200" t="s">
        <v>1417</v>
      </c>
      <c r="H200" t="s">
        <v>35</v>
      </c>
      <c r="I200" t="s">
        <v>1579</v>
      </c>
      <c r="J200">
        <v>0</v>
      </c>
      <c r="K200">
        <v>0</v>
      </c>
      <c r="L200">
        <v>0</v>
      </c>
      <c r="M200">
        <v>0</v>
      </c>
      <c r="N200">
        <v>0</v>
      </c>
      <c r="S200" t="s">
        <v>2504</v>
      </c>
      <c r="V200" t="s">
        <v>2527</v>
      </c>
    </row>
    <row r="201" spans="3:22" x14ac:dyDescent="0.4">
      <c r="C201" t="s">
        <v>3</v>
      </c>
      <c r="D201" t="s">
        <v>509</v>
      </c>
      <c r="E201" t="s">
        <v>1084</v>
      </c>
      <c r="G201" t="s">
        <v>940</v>
      </c>
      <c r="H201" t="s">
        <v>40</v>
      </c>
      <c r="I201" t="s">
        <v>1580</v>
      </c>
      <c r="J201">
        <v>0</v>
      </c>
      <c r="K201">
        <v>0</v>
      </c>
      <c r="L201">
        <v>0</v>
      </c>
      <c r="M201">
        <v>0</v>
      </c>
      <c r="N201">
        <v>0</v>
      </c>
      <c r="S201" t="s">
        <v>2503</v>
      </c>
      <c r="V201">
        <v>0</v>
      </c>
    </row>
    <row r="202" spans="3:22" x14ac:dyDescent="0.4">
      <c r="C202" t="s">
        <v>5</v>
      </c>
      <c r="D202" t="s">
        <v>510</v>
      </c>
      <c r="E202" t="s">
        <v>1085</v>
      </c>
      <c r="G202" t="s">
        <v>1423</v>
      </c>
      <c r="H202" t="s">
        <v>35</v>
      </c>
      <c r="J202">
        <v>0</v>
      </c>
      <c r="K202">
        <v>0</v>
      </c>
      <c r="L202">
        <v>0</v>
      </c>
      <c r="M202">
        <v>0</v>
      </c>
      <c r="N202">
        <v>0</v>
      </c>
      <c r="S202" t="s">
        <v>2503</v>
      </c>
      <c r="V202" t="s">
        <v>2528</v>
      </c>
    </row>
    <row r="203" spans="3:22" x14ac:dyDescent="0.4">
      <c r="C203" t="s">
        <v>4</v>
      </c>
      <c r="D203" t="s">
        <v>511</v>
      </c>
      <c r="E203" t="s">
        <v>1086</v>
      </c>
      <c r="G203" t="s">
        <v>1423</v>
      </c>
      <c r="H203" t="s">
        <v>35</v>
      </c>
      <c r="I203" t="s">
        <v>1581</v>
      </c>
      <c r="J203">
        <v>0</v>
      </c>
      <c r="K203">
        <v>0</v>
      </c>
      <c r="L203">
        <v>0</v>
      </c>
      <c r="M203">
        <v>0</v>
      </c>
      <c r="N203">
        <v>0</v>
      </c>
      <c r="S203" t="s">
        <v>2504</v>
      </c>
      <c r="V203">
        <v>0</v>
      </c>
    </row>
    <row r="204" spans="3:22" x14ac:dyDescent="0.4">
      <c r="C204" t="s">
        <v>3</v>
      </c>
      <c r="D204" t="s">
        <v>512</v>
      </c>
      <c r="G204" t="s">
        <v>1417</v>
      </c>
      <c r="H204" t="s">
        <v>35</v>
      </c>
      <c r="J204">
        <v>0</v>
      </c>
      <c r="K204">
        <v>0</v>
      </c>
      <c r="L204">
        <v>0</v>
      </c>
      <c r="M204">
        <v>0</v>
      </c>
      <c r="N204">
        <v>0</v>
      </c>
      <c r="S204" t="s">
        <v>2503</v>
      </c>
      <c r="V204">
        <v>0</v>
      </c>
    </row>
    <row r="205" spans="3:22" x14ac:dyDescent="0.4">
      <c r="C205" t="s">
        <v>4</v>
      </c>
      <c r="D205" t="s">
        <v>513</v>
      </c>
      <c r="E205" t="s">
        <v>1087</v>
      </c>
      <c r="G205" t="s">
        <v>1004</v>
      </c>
      <c r="H205" t="s">
        <v>43</v>
      </c>
      <c r="J205">
        <v>0</v>
      </c>
      <c r="K205">
        <v>0</v>
      </c>
      <c r="L205">
        <v>0</v>
      </c>
      <c r="M205">
        <v>0</v>
      </c>
      <c r="N205">
        <v>0</v>
      </c>
      <c r="S205" t="s">
        <v>2504</v>
      </c>
      <c r="V205">
        <v>0</v>
      </c>
    </row>
    <row r="206" spans="3:22" x14ac:dyDescent="0.4">
      <c r="C206" t="s">
        <v>4</v>
      </c>
      <c r="D206" t="s">
        <v>514</v>
      </c>
      <c r="E206" t="s">
        <v>1088</v>
      </c>
      <c r="G206" t="s">
        <v>1582</v>
      </c>
      <c r="H206" t="s">
        <v>46</v>
      </c>
      <c r="I206" t="s">
        <v>1583</v>
      </c>
      <c r="J206" t="s">
        <v>1953</v>
      </c>
      <c r="K206" t="s">
        <v>2121</v>
      </c>
      <c r="L206" t="s">
        <v>2122</v>
      </c>
      <c r="M206" t="s">
        <v>1953</v>
      </c>
      <c r="N206" t="s">
        <v>2123</v>
      </c>
      <c r="S206" t="s">
        <v>2503</v>
      </c>
      <c r="V206">
        <v>0</v>
      </c>
    </row>
    <row r="207" spans="3:22" x14ac:dyDescent="0.4">
      <c r="C207" t="s">
        <v>3</v>
      </c>
      <c r="D207" t="s">
        <v>515</v>
      </c>
      <c r="E207" t="s">
        <v>1089</v>
      </c>
      <c r="G207" t="s">
        <v>963</v>
      </c>
      <c r="H207" t="s">
        <v>37</v>
      </c>
      <c r="J207">
        <v>0</v>
      </c>
      <c r="K207">
        <v>0</v>
      </c>
      <c r="L207">
        <v>0</v>
      </c>
      <c r="M207">
        <v>0</v>
      </c>
      <c r="N207">
        <v>0</v>
      </c>
      <c r="S207" t="s">
        <v>2503</v>
      </c>
      <c r="V207">
        <v>0</v>
      </c>
    </row>
    <row r="208" spans="3:22" x14ac:dyDescent="0.4">
      <c r="C208" t="s">
        <v>4</v>
      </c>
      <c r="D208" t="s">
        <v>516</v>
      </c>
      <c r="E208" t="s">
        <v>1090</v>
      </c>
      <c r="F208" t="s">
        <v>1455</v>
      </c>
      <c r="G208" t="s">
        <v>940</v>
      </c>
      <c r="H208" t="s">
        <v>40</v>
      </c>
      <c r="J208">
        <v>0</v>
      </c>
      <c r="K208">
        <v>0</v>
      </c>
      <c r="L208">
        <v>0</v>
      </c>
      <c r="M208">
        <v>0</v>
      </c>
      <c r="N208">
        <v>0</v>
      </c>
      <c r="S208" t="s">
        <v>2503</v>
      </c>
      <c r="V208">
        <v>0</v>
      </c>
    </row>
    <row r="209" spans="3:25" x14ac:dyDescent="0.4">
      <c r="C209" t="s">
        <v>3</v>
      </c>
      <c r="D209" t="s">
        <v>517</v>
      </c>
      <c r="E209" t="s">
        <v>1091</v>
      </c>
      <c r="G209" t="s">
        <v>1423</v>
      </c>
      <c r="H209" t="s">
        <v>35</v>
      </c>
      <c r="J209">
        <v>0</v>
      </c>
      <c r="K209">
        <v>0</v>
      </c>
      <c r="L209">
        <v>0</v>
      </c>
      <c r="M209" t="s">
        <v>2124</v>
      </c>
      <c r="N209">
        <v>0</v>
      </c>
      <c r="S209" t="s">
        <v>2503</v>
      </c>
      <c r="V209" t="s">
        <v>2529</v>
      </c>
    </row>
    <row r="210" spans="3:25" x14ac:dyDescent="0.4">
      <c r="C210" t="s">
        <v>3</v>
      </c>
      <c r="D210" t="s">
        <v>518</v>
      </c>
      <c r="E210" t="s">
        <v>1092</v>
      </c>
      <c r="G210" t="s">
        <v>54</v>
      </c>
      <c r="H210" t="s">
        <v>40</v>
      </c>
      <c r="I210" t="s">
        <v>1584</v>
      </c>
      <c r="J210">
        <v>0</v>
      </c>
      <c r="K210">
        <v>0</v>
      </c>
      <c r="L210">
        <v>0</v>
      </c>
      <c r="M210">
        <v>0</v>
      </c>
      <c r="N210">
        <v>0</v>
      </c>
      <c r="S210" t="s">
        <v>2503</v>
      </c>
      <c r="V210">
        <v>0</v>
      </c>
    </row>
    <row r="211" spans="3:25" x14ac:dyDescent="0.4">
      <c r="C211" t="s">
        <v>3</v>
      </c>
      <c r="D211" t="s">
        <v>519</v>
      </c>
      <c r="E211" t="s">
        <v>1093</v>
      </c>
      <c r="G211" t="s">
        <v>963</v>
      </c>
      <c r="H211" t="s">
        <v>37</v>
      </c>
      <c r="J211">
        <v>0</v>
      </c>
      <c r="K211">
        <v>0</v>
      </c>
      <c r="L211">
        <v>0</v>
      </c>
      <c r="M211">
        <v>0</v>
      </c>
      <c r="N211">
        <v>0</v>
      </c>
      <c r="S211" t="s">
        <v>2503</v>
      </c>
      <c r="V211">
        <v>0</v>
      </c>
    </row>
    <row r="212" spans="3:25" x14ac:dyDescent="0.4">
      <c r="C212" t="s">
        <v>3</v>
      </c>
      <c r="D212" t="s">
        <v>520</v>
      </c>
      <c r="E212" t="s">
        <v>1094</v>
      </c>
      <c r="G212" t="s">
        <v>966</v>
      </c>
      <c r="H212" t="s">
        <v>38</v>
      </c>
      <c r="J212">
        <v>0</v>
      </c>
      <c r="K212">
        <v>0</v>
      </c>
      <c r="L212">
        <v>0</v>
      </c>
      <c r="M212">
        <v>0</v>
      </c>
      <c r="N212">
        <v>0</v>
      </c>
      <c r="S212" t="s">
        <v>2503</v>
      </c>
      <c r="V212">
        <v>0</v>
      </c>
    </row>
    <row r="213" spans="3:25" x14ac:dyDescent="0.4">
      <c r="C213" t="s">
        <v>4</v>
      </c>
      <c r="D213" t="s">
        <v>521</v>
      </c>
      <c r="E213" t="s">
        <v>1095</v>
      </c>
      <c r="G213" t="s">
        <v>1417</v>
      </c>
      <c r="H213" t="s">
        <v>35</v>
      </c>
      <c r="I213" t="s">
        <v>1585</v>
      </c>
      <c r="J213" t="s">
        <v>1954</v>
      </c>
      <c r="K213" t="s">
        <v>2125</v>
      </c>
      <c r="L213" t="s">
        <v>2126</v>
      </c>
      <c r="M213" t="s">
        <v>1954</v>
      </c>
      <c r="N213">
        <v>0</v>
      </c>
      <c r="S213" t="s">
        <v>2505</v>
      </c>
      <c r="V213" t="s">
        <v>2530</v>
      </c>
      <c r="X213" s="4">
        <v>300000</v>
      </c>
    </row>
    <row r="214" spans="3:25" x14ac:dyDescent="0.4">
      <c r="C214" t="s">
        <v>4</v>
      </c>
      <c r="D214" t="s">
        <v>522</v>
      </c>
      <c r="E214" t="s">
        <v>1096</v>
      </c>
      <c r="G214" t="s">
        <v>1586</v>
      </c>
      <c r="H214" t="s">
        <v>37</v>
      </c>
      <c r="J214">
        <v>0</v>
      </c>
      <c r="K214">
        <v>0</v>
      </c>
      <c r="L214">
        <v>0</v>
      </c>
      <c r="M214">
        <v>0</v>
      </c>
      <c r="N214">
        <v>0</v>
      </c>
      <c r="S214" t="s">
        <v>2504</v>
      </c>
      <c r="U214" s="91">
        <v>45981</v>
      </c>
      <c r="V214">
        <v>0</v>
      </c>
      <c r="X214" s="4">
        <v>300000</v>
      </c>
      <c r="Y214" t="s">
        <v>29</v>
      </c>
    </row>
    <row r="215" spans="3:25" x14ac:dyDescent="0.4">
      <c r="C215" t="s">
        <v>4</v>
      </c>
      <c r="D215" t="s">
        <v>523</v>
      </c>
      <c r="E215" t="s">
        <v>1097</v>
      </c>
      <c r="G215" t="s">
        <v>963</v>
      </c>
      <c r="H215" t="s">
        <v>37</v>
      </c>
      <c r="I215" t="s">
        <v>1587</v>
      </c>
      <c r="J215">
        <v>0</v>
      </c>
      <c r="K215">
        <v>0</v>
      </c>
      <c r="L215">
        <v>0</v>
      </c>
      <c r="M215">
        <v>0</v>
      </c>
      <c r="N215">
        <v>0</v>
      </c>
      <c r="S215" t="s">
        <v>2505</v>
      </c>
      <c r="V215" t="s">
        <v>2531</v>
      </c>
    </row>
    <row r="216" spans="3:25" x14ac:dyDescent="0.4">
      <c r="C216" t="s">
        <v>4</v>
      </c>
      <c r="D216" t="s">
        <v>524</v>
      </c>
      <c r="E216" t="s">
        <v>1098</v>
      </c>
      <c r="G216" t="s">
        <v>963</v>
      </c>
      <c r="H216" t="s">
        <v>37</v>
      </c>
      <c r="I216" t="s">
        <v>1588</v>
      </c>
      <c r="J216">
        <v>0</v>
      </c>
      <c r="K216">
        <v>0</v>
      </c>
      <c r="L216">
        <v>0</v>
      </c>
      <c r="M216">
        <v>0</v>
      </c>
      <c r="N216" t="s">
        <v>2127</v>
      </c>
      <c r="S216" t="s">
        <v>2503</v>
      </c>
      <c r="V216">
        <v>0</v>
      </c>
    </row>
    <row r="217" spans="3:25" x14ac:dyDescent="0.4">
      <c r="C217" t="s">
        <v>4</v>
      </c>
      <c r="D217" t="s">
        <v>525</v>
      </c>
      <c r="E217" t="s">
        <v>1099</v>
      </c>
      <c r="G217" t="s">
        <v>963</v>
      </c>
      <c r="H217" t="s">
        <v>37</v>
      </c>
      <c r="I217" t="s">
        <v>1589</v>
      </c>
      <c r="J217">
        <v>0</v>
      </c>
      <c r="K217">
        <v>0</v>
      </c>
      <c r="L217">
        <v>0</v>
      </c>
      <c r="M217">
        <v>0</v>
      </c>
      <c r="N217">
        <v>0</v>
      </c>
      <c r="S217" t="s">
        <v>2503</v>
      </c>
      <c r="V217">
        <v>0</v>
      </c>
    </row>
    <row r="218" spans="3:25" x14ac:dyDescent="0.4">
      <c r="C218" t="s">
        <v>4</v>
      </c>
      <c r="D218" t="s">
        <v>526</v>
      </c>
      <c r="E218" t="s">
        <v>1100</v>
      </c>
      <c r="G218" t="s">
        <v>1423</v>
      </c>
      <c r="H218" t="s">
        <v>35</v>
      </c>
      <c r="I218" t="s">
        <v>1590</v>
      </c>
      <c r="J218">
        <v>0</v>
      </c>
      <c r="K218">
        <v>0</v>
      </c>
      <c r="L218">
        <v>0</v>
      </c>
      <c r="M218">
        <v>0</v>
      </c>
      <c r="N218">
        <v>0</v>
      </c>
      <c r="S218" t="s">
        <v>2505</v>
      </c>
      <c r="V218">
        <v>0</v>
      </c>
    </row>
    <row r="219" spans="3:25" x14ac:dyDescent="0.4">
      <c r="C219" t="s">
        <v>4</v>
      </c>
      <c r="D219" t="s">
        <v>527</v>
      </c>
      <c r="E219" t="s">
        <v>1101</v>
      </c>
      <c r="G219" t="s">
        <v>963</v>
      </c>
      <c r="H219" t="s">
        <v>37</v>
      </c>
      <c r="J219">
        <v>0</v>
      </c>
      <c r="K219">
        <v>0</v>
      </c>
      <c r="L219">
        <v>0</v>
      </c>
      <c r="M219">
        <v>0</v>
      </c>
      <c r="N219" t="s">
        <v>2128</v>
      </c>
      <c r="S219" t="s">
        <v>2503</v>
      </c>
      <c r="V219">
        <v>0</v>
      </c>
    </row>
    <row r="220" spans="3:25" x14ac:dyDescent="0.4">
      <c r="C220" t="s">
        <v>4</v>
      </c>
      <c r="D220" t="s">
        <v>528</v>
      </c>
      <c r="E220" t="s">
        <v>1102</v>
      </c>
      <c r="G220" t="s">
        <v>963</v>
      </c>
      <c r="H220" t="s">
        <v>37</v>
      </c>
      <c r="I220" t="s">
        <v>1591</v>
      </c>
      <c r="J220">
        <v>0</v>
      </c>
      <c r="K220">
        <v>0</v>
      </c>
      <c r="L220">
        <v>0</v>
      </c>
      <c r="M220">
        <v>0</v>
      </c>
      <c r="N220">
        <v>0</v>
      </c>
      <c r="S220" t="s">
        <v>2504</v>
      </c>
      <c r="V220">
        <v>0</v>
      </c>
      <c r="X220" s="4">
        <v>60000</v>
      </c>
    </row>
    <row r="221" spans="3:25" x14ac:dyDescent="0.4">
      <c r="C221" t="s">
        <v>4</v>
      </c>
      <c r="D221" t="s">
        <v>529</v>
      </c>
      <c r="E221" t="s">
        <v>1103</v>
      </c>
      <c r="G221" t="s">
        <v>963</v>
      </c>
      <c r="H221" t="s">
        <v>37</v>
      </c>
      <c r="J221" t="s">
        <v>1955</v>
      </c>
      <c r="K221" t="s">
        <v>2129</v>
      </c>
      <c r="L221">
        <v>0</v>
      </c>
      <c r="M221" t="s">
        <v>1955</v>
      </c>
      <c r="N221" t="s">
        <v>2130</v>
      </c>
      <c r="S221" t="s">
        <v>2509</v>
      </c>
      <c r="V221">
        <v>0</v>
      </c>
    </row>
    <row r="222" spans="3:25" x14ac:dyDescent="0.4">
      <c r="C222" t="s">
        <v>4</v>
      </c>
      <c r="D222" t="s">
        <v>530</v>
      </c>
      <c r="E222" t="s">
        <v>1104</v>
      </c>
      <c r="I222" t="s">
        <v>1592</v>
      </c>
      <c r="J222">
        <v>0</v>
      </c>
      <c r="K222">
        <v>0</v>
      </c>
      <c r="L222">
        <v>0</v>
      </c>
      <c r="M222">
        <v>0</v>
      </c>
      <c r="N222">
        <v>0</v>
      </c>
      <c r="S222" t="s">
        <v>2503</v>
      </c>
      <c r="V222">
        <v>0</v>
      </c>
    </row>
    <row r="223" spans="3:25" x14ac:dyDescent="0.4">
      <c r="C223" t="s">
        <v>4</v>
      </c>
      <c r="D223" t="s">
        <v>531</v>
      </c>
      <c r="E223" t="s">
        <v>1105</v>
      </c>
      <c r="G223" t="s">
        <v>1489</v>
      </c>
      <c r="H223" t="s">
        <v>37</v>
      </c>
      <c r="I223" t="s">
        <v>1593</v>
      </c>
      <c r="J223">
        <v>0</v>
      </c>
      <c r="K223">
        <v>0</v>
      </c>
      <c r="L223">
        <v>0</v>
      </c>
      <c r="M223">
        <v>0</v>
      </c>
      <c r="N223">
        <v>0</v>
      </c>
      <c r="S223" t="s">
        <v>2503</v>
      </c>
      <c r="V223">
        <v>0</v>
      </c>
    </row>
    <row r="224" spans="3:25" x14ac:dyDescent="0.4">
      <c r="C224" t="s">
        <v>4</v>
      </c>
      <c r="D224" t="s">
        <v>532</v>
      </c>
      <c r="E224" t="s">
        <v>1106</v>
      </c>
      <c r="G224" t="s">
        <v>1489</v>
      </c>
      <c r="H224" t="s">
        <v>37</v>
      </c>
      <c r="I224" t="s">
        <v>1594</v>
      </c>
      <c r="J224">
        <v>0</v>
      </c>
      <c r="K224">
        <v>0</v>
      </c>
      <c r="L224">
        <v>0</v>
      </c>
      <c r="M224">
        <v>0</v>
      </c>
      <c r="N224" t="s">
        <v>2131</v>
      </c>
      <c r="S224" t="s">
        <v>2503</v>
      </c>
      <c r="U224" s="91">
        <v>46217</v>
      </c>
      <c r="V224" t="s">
        <v>2532</v>
      </c>
    </row>
    <row r="225" spans="3:25" x14ac:dyDescent="0.4">
      <c r="C225" t="s">
        <v>4</v>
      </c>
      <c r="D225" t="s">
        <v>533</v>
      </c>
      <c r="E225" t="s">
        <v>1107</v>
      </c>
      <c r="G225" t="s">
        <v>1154</v>
      </c>
      <c r="H225" t="s">
        <v>37</v>
      </c>
      <c r="I225" t="s">
        <v>1595</v>
      </c>
      <c r="J225">
        <v>0</v>
      </c>
      <c r="K225">
        <v>0</v>
      </c>
      <c r="L225">
        <v>0</v>
      </c>
      <c r="M225">
        <v>0</v>
      </c>
      <c r="N225" t="s">
        <v>2132</v>
      </c>
      <c r="S225" t="s">
        <v>2503</v>
      </c>
      <c r="V225">
        <v>0</v>
      </c>
    </row>
    <row r="226" spans="3:25" x14ac:dyDescent="0.4">
      <c r="C226" t="s">
        <v>4</v>
      </c>
      <c r="D226" t="s">
        <v>534</v>
      </c>
      <c r="E226" t="s">
        <v>1108</v>
      </c>
      <c r="G226" t="s">
        <v>1489</v>
      </c>
      <c r="H226" t="s">
        <v>37</v>
      </c>
      <c r="I226" t="s">
        <v>1596</v>
      </c>
      <c r="J226" t="s">
        <v>1956</v>
      </c>
      <c r="K226">
        <v>0</v>
      </c>
      <c r="L226">
        <v>0</v>
      </c>
      <c r="M226">
        <v>0</v>
      </c>
      <c r="N226" t="s">
        <v>2133</v>
      </c>
      <c r="S226" t="s">
        <v>2503</v>
      </c>
      <c r="V226">
        <v>0</v>
      </c>
    </row>
    <row r="227" spans="3:25" x14ac:dyDescent="0.4">
      <c r="C227" t="s">
        <v>3</v>
      </c>
      <c r="D227" t="s">
        <v>535</v>
      </c>
      <c r="E227" t="s">
        <v>1109</v>
      </c>
      <c r="G227" t="s">
        <v>940</v>
      </c>
      <c r="H227" t="s">
        <v>40</v>
      </c>
      <c r="J227">
        <v>0</v>
      </c>
      <c r="K227">
        <v>0</v>
      </c>
      <c r="L227">
        <v>0</v>
      </c>
      <c r="M227">
        <v>0</v>
      </c>
      <c r="N227">
        <v>0</v>
      </c>
      <c r="S227" t="s">
        <v>2503</v>
      </c>
      <c r="V227">
        <v>0</v>
      </c>
    </row>
    <row r="228" spans="3:25" x14ac:dyDescent="0.4">
      <c r="C228" t="s">
        <v>4</v>
      </c>
      <c r="D228" t="s">
        <v>536</v>
      </c>
      <c r="E228" t="s">
        <v>1110</v>
      </c>
      <c r="G228" t="s">
        <v>1423</v>
      </c>
      <c r="H228" t="s">
        <v>35</v>
      </c>
      <c r="J228">
        <v>0</v>
      </c>
      <c r="K228">
        <v>0</v>
      </c>
      <c r="L228">
        <v>0</v>
      </c>
      <c r="M228">
        <v>0</v>
      </c>
      <c r="N228">
        <v>0</v>
      </c>
      <c r="S228" t="s">
        <v>2505</v>
      </c>
      <c r="V228" t="s">
        <v>2533</v>
      </c>
    </row>
    <row r="229" spans="3:25" x14ac:dyDescent="0.4">
      <c r="C229" t="s">
        <v>3</v>
      </c>
      <c r="D229" t="s">
        <v>537</v>
      </c>
      <c r="E229" t="s">
        <v>1111</v>
      </c>
      <c r="G229" t="s">
        <v>1423</v>
      </c>
      <c r="H229" t="s">
        <v>35</v>
      </c>
      <c r="I229" t="s">
        <v>1597</v>
      </c>
      <c r="J229" t="s">
        <v>1957</v>
      </c>
      <c r="K229">
        <v>0</v>
      </c>
      <c r="L229">
        <v>0</v>
      </c>
      <c r="M229">
        <v>0</v>
      </c>
      <c r="N229">
        <v>0</v>
      </c>
      <c r="S229" t="s">
        <v>2503</v>
      </c>
      <c r="V229">
        <v>0</v>
      </c>
    </row>
    <row r="230" spans="3:25" x14ac:dyDescent="0.4">
      <c r="C230" t="s">
        <v>4</v>
      </c>
      <c r="D230" t="s">
        <v>538</v>
      </c>
      <c r="E230" t="s">
        <v>1112</v>
      </c>
      <c r="G230" t="s">
        <v>1423</v>
      </c>
      <c r="H230" t="s">
        <v>35</v>
      </c>
      <c r="I230" t="s">
        <v>1598</v>
      </c>
      <c r="J230" t="s">
        <v>1958</v>
      </c>
      <c r="K230" t="s">
        <v>2134</v>
      </c>
      <c r="L230">
        <v>0</v>
      </c>
      <c r="M230" t="s">
        <v>1958</v>
      </c>
      <c r="N230" t="s">
        <v>2135</v>
      </c>
      <c r="S230" t="s">
        <v>2505</v>
      </c>
      <c r="V230" t="s">
        <v>2534</v>
      </c>
      <c r="Y230" t="s">
        <v>2595</v>
      </c>
    </row>
    <row r="231" spans="3:25" x14ac:dyDescent="0.4">
      <c r="C231" t="s">
        <v>5</v>
      </c>
      <c r="D231" t="s">
        <v>539</v>
      </c>
      <c r="E231" t="s">
        <v>1113</v>
      </c>
      <c r="G231" t="s">
        <v>1423</v>
      </c>
      <c r="H231" t="s">
        <v>35</v>
      </c>
      <c r="J231">
        <v>0</v>
      </c>
      <c r="K231">
        <v>0</v>
      </c>
      <c r="L231">
        <v>0</v>
      </c>
      <c r="M231">
        <v>0</v>
      </c>
      <c r="N231" t="s">
        <v>2136</v>
      </c>
      <c r="S231" t="s">
        <v>2503</v>
      </c>
      <c r="V231" t="s">
        <v>2535</v>
      </c>
    </row>
    <row r="232" spans="3:25" x14ac:dyDescent="0.4">
      <c r="C232" t="s">
        <v>3</v>
      </c>
      <c r="D232" t="s">
        <v>540</v>
      </c>
      <c r="E232" t="s">
        <v>1114</v>
      </c>
      <c r="G232" t="s">
        <v>963</v>
      </c>
      <c r="H232" t="s">
        <v>37</v>
      </c>
      <c r="J232" t="s">
        <v>1959</v>
      </c>
      <c r="S232" t="s">
        <v>2503</v>
      </c>
      <c r="V232">
        <v>0</v>
      </c>
    </row>
    <row r="233" spans="3:25" x14ac:dyDescent="0.4">
      <c r="C233" t="s">
        <v>3</v>
      </c>
      <c r="D233" t="s">
        <v>541</v>
      </c>
      <c r="E233" t="s">
        <v>1115</v>
      </c>
      <c r="G233" t="s">
        <v>940</v>
      </c>
      <c r="H233" t="s">
        <v>40</v>
      </c>
      <c r="J233">
        <v>0</v>
      </c>
      <c r="K233">
        <v>0</v>
      </c>
      <c r="L233">
        <v>0</v>
      </c>
      <c r="M233">
        <v>0</v>
      </c>
      <c r="N233">
        <v>0</v>
      </c>
      <c r="S233" t="s">
        <v>2503</v>
      </c>
      <c r="V233">
        <v>0</v>
      </c>
    </row>
    <row r="234" spans="3:25" x14ac:dyDescent="0.4">
      <c r="C234" t="s">
        <v>5</v>
      </c>
      <c r="D234" t="s">
        <v>542</v>
      </c>
      <c r="E234" t="s">
        <v>1116</v>
      </c>
      <c r="G234" t="s">
        <v>1599</v>
      </c>
      <c r="H234" t="s">
        <v>35</v>
      </c>
      <c r="I234" t="s">
        <v>1600</v>
      </c>
      <c r="J234" t="s">
        <v>1960</v>
      </c>
      <c r="K234" t="s">
        <v>2137</v>
      </c>
      <c r="L234" t="s">
        <v>2138</v>
      </c>
      <c r="M234" t="s">
        <v>1960</v>
      </c>
      <c r="N234" t="s">
        <v>2139</v>
      </c>
      <c r="S234" t="s">
        <v>2503</v>
      </c>
      <c r="V234" t="s">
        <v>2536</v>
      </c>
    </row>
    <row r="235" spans="3:25" x14ac:dyDescent="0.4">
      <c r="C235" t="s">
        <v>3</v>
      </c>
      <c r="D235" t="s">
        <v>543</v>
      </c>
      <c r="E235" t="s">
        <v>1117</v>
      </c>
      <c r="G235" t="s">
        <v>963</v>
      </c>
      <c r="H235" t="s">
        <v>37</v>
      </c>
      <c r="J235">
        <v>0</v>
      </c>
      <c r="K235">
        <v>0</v>
      </c>
      <c r="L235">
        <v>0</v>
      </c>
      <c r="M235">
        <v>0</v>
      </c>
      <c r="N235">
        <v>0</v>
      </c>
      <c r="S235" t="s">
        <v>2503</v>
      </c>
      <c r="V235">
        <v>0</v>
      </c>
    </row>
    <row r="236" spans="3:25" x14ac:dyDescent="0.4">
      <c r="C236" t="s">
        <v>3</v>
      </c>
      <c r="D236" t="s">
        <v>544</v>
      </c>
      <c r="E236" t="s">
        <v>1118</v>
      </c>
      <c r="G236" t="s">
        <v>1417</v>
      </c>
      <c r="H236" t="s">
        <v>35</v>
      </c>
      <c r="I236" t="s">
        <v>1601</v>
      </c>
      <c r="J236">
        <v>0</v>
      </c>
      <c r="K236">
        <v>0</v>
      </c>
      <c r="L236">
        <v>0</v>
      </c>
      <c r="M236">
        <v>0</v>
      </c>
      <c r="N236">
        <v>0</v>
      </c>
      <c r="S236" t="s">
        <v>2503</v>
      </c>
      <c r="V236">
        <v>0</v>
      </c>
    </row>
    <row r="237" spans="3:25" x14ac:dyDescent="0.4">
      <c r="C237" t="s">
        <v>3</v>
      </c>
      <c r="D237" t="s">
        <v>545</v>
      </c>
      <c r="E237" t="s">
        <v>1119</v>
      </c>
      <c r="G237" t="s">
        <v>1417</v>
      </c>
      <c r="H237" t="s">
        <v>35</v>
      </c>
      <c r="J237">
        <v>0</v>
      </c>
      <c r="K237">
        <v>0</v>
      </c>
      <c r="L237">
        <v>0</v>
      </c>
      <c r="M237">
        <v>0</v>
      </c>
      <c r="N237">
        <v>0</v>
      </c>
      <c r="S237" t="s">
        <v>2503</v>
      </c>
      <c r="V237" t="s">
        <v>2537</v>
      </c>
    </row>
    <row r="238" spans="3:25" x14ac:dyDescent="0.4">
      <c r="C238" t="s">
        <v>5</v>
      </c>
      <c r="D238" t="s">
        <v>546</v>
      </c>
      <c r="E238" t="s">
        <v>1120</v>
      </c>
      <c r="G238" t="s">
        <v>1927</v>
      </c>
      <c r="H238" t="s">
        <v>1602</v>
      </c>
      <c r="J238">
        <v>0</v>
      </c>
      <c r="K238" t="s">
        <v>2140</v>
      </c>
      <c r="L238" t="s">
        <v>2141</v>
      </c>
      <c r="M238">
        <v>0</v>
      </c>
      <c r="N238" t="s">
        <v>2142</v>
      </c>
      <c r="S238" t="s">
        <v>2503</v>
      </c>
      <c r="V238">
        <v>0</v>
      </c>
    </row>
    <row r="239" spans="3:25" x14ac:dyDescent="0.4">
      <c r="C239" t="s">
        <v>5</v>
      </c>
      <c r="D239" t="s">
        <v>142</v>
      </c>
      <c r="E239" t="s">
        <v>1121</v>
      </c>
      <c r="G239" t="s">
        <v>1603</v>
      </c>
      <c r="H239" t="s">
        <v>1604</v>
      </c>
      <c r="J239">
        <v>0</v>
      </c>
      <c r="K239" t="s">
        <v>2143</v>
      </c>
      <c r="L239">
        <v>0</v>
      </c>
      <c r="M239">
        <v>0</v>
      </c>
      <c r="N239" t="s">
        <v>2144</v>
      </c>
      <c r="S239" t="s">
        <v>2503</v>
      </c>
      <c r="V239" t="s">
        <v>2538</v>
      </c>
    </row>
    <row r="240" spans="3:25" x14ac:dyDescent="0.4">
      <c r="C240" t="s">
        <v>5</v>
      </c>
      <c r="D240" t="s">
        <v>547</v>
      </c>
      <c r="E240" t="s">
        <v>1122</v>
      </c>
      <c r="G240" t="s">
        <v>1423</v>
      </c>
      <c r="H240" t="s">
        <v>35</v>
      </c>
      <c r="J240" t="s">
        <v>1961</v>
      </c>
      <c r="K240" t="s">
        <v>2145</v>
      </c>
      <c r="L240" t="s">
        <v>2146</v>
      </c>
      <c r="M240">
        <v>0</v>
      </c>
      <c r="N240">
        <v>0</v>
      </c>
      <c r="S240" t="s">
        <v>2503</v>
      </c>
      <c r="V240" t="s">
        <v>2539</v>
      </c>
    </row>
    <row r="241" spans="3:25" x14ac:dyDescent="0.4">
      <c r="C241" t="s">
        <v>3</v>
      </c>
      <c r="D241" t="s">
        <v>548</v>
      </c>
      <c r="E241" t="s">
        <v>1123</v>
      </c>
      <c r="G241" t="s">
        <v>1423</v>
      </c>
      <c r="H241" t="s">
        <v>35</v>
      </c>
      <c r="J241">
        <v>0</v>
      </c>
      <c r="K241">
        <v>0</v>
      </c>
      <c r="L241">
        <v>0</v>
      </c>
      <c r="M241">
        <v>0</v>
      </c>
      <c r="N241">
        <v>0</v>
      </c>
      <c r="S241" t="s">
        <v>2503</v>
      </c>
      <c r="V241">
        <v>0</v>
      </c>
    </row>
    <row r="242" spans="3:25" x14ac:dyDescent="0.4">
      <c r="C242" t="s">
        <v>3</v>
      </c>
      <c r="D242" t="s">
        <v>549</v>
      </c>
      <c r="E242" t="s">
        <v>54</v>
      </c>
      <c r="H242" t="s">
        <v>40</v>
      </c>
      <c r="J242">
        <v>0</v>
      </c>
      <c r="K242">
        <v>0</v>
      </c>
      <c r="L242">
        <v>0</v>
      </c>
      <c r="M242">
        <v>0</v>
      </c>
      <c r="N242">
        <v>0</v>
      </c>
      <c r="S242" t="s">
        <v>2503</v>
      </c>
      <c r="V242">
        <v>0</v>
      </c>
    </row>
    <row r="243" spans="3:25" x14ac:dyDescent="0.4">
      <c r="C243" t="s">
        <v>3</v>
      </c>
      <c r="D243" t="s">
        <v>550</v>
      </c>
      <c r="E243" t="s">
        <v>1124</v>
      </c>
      <c r="G243" t="s">
        <v>963</v>
      </c>
      <c r="H243" t="s">
        <v>37</v>
      </c>
      <c r="J243">
        <v>0</v>
      </c>
      <c r="K243">
        <v>0</v>
      </c>
      <c r="L243">
        <v>0</v>
      </c>
      <c r="M243">
        <v>0</v>
      </c>
      <c r="N243">
        <v>0</v>
      </c>
      <c r="S243" t="s">
        <v>2503</v>
      </c>
      <c r="V243">
        <v>0</v>
      </c>
    </row>
    <row r="244" spans="3:25" x14ac:dyDescent="0.4">
      <c r="C244" t="s">
        <v>4</v>
      </c>
      <c r="D244" t="s">
        <v>551</v>
      </c>
      <c r="E244" t="s">
        <v>1125</v>
      </c>
      <c r="G244" t="s">
        <v>963</v>
      </c>
      <c r="H244" t="s">
        <v>37</v>
      </c>
      <c r="I244" t="s">
        <v>1605</v>
      </c>
      <c r="J244" t="s">
        <v>1962</v>
      </c>
      <c r="K244" t="s">
        <v>2147</v>
      </c>
      <c r="L244" t="s">
        <v>2148</v>
      </c>
      <c r="M244" t="s">
        <v>1962</v>
      </c>
      <c r="N244" t="s">
        <v>2149</v>
      </c>
      <c r="S244" t="s">
        <v>2505</v>
      </c>
      <c r="V244">
        <v>0</v>
      </c>
      <c r="X244" s="4">
        <v>200000</v>
      </c>
    </row>
    <row r="245" spans="3:25" x14ac:dyDescent="0.4">
      <c r="C245" t="s">
        <v>3</v>
      </c>
      <c r="D245" t="s">
        <v>552</v>
      </c>
      <c r="E245" t="s">
        <v>1126</v>
      </c>
      <c r="H245" t="s">
        <v>1606</v>
      </c>
      <c r="J245">
        <v>0</v>
      </c>
      <c r="K245">
        <v>0</v>
      </c>
      <c r="L245">
        <v>0</v>
      </c>
      <c r="M245">
        <v>0</v>
      </c>
      <c r="N245">
        <v>0</v>
      </c>
      <c r="S245" t="s">
        <v>2503</v>
      </c>
      <c r="V245">
        <v>0</v>
      </c>
    </row>
    <row r="246" spans="3:25" x14ac:dyDescent="0.4">
      <c r="C246" t="s">
        <v>4</v>
      </c>
      <c r="D246" t="s">
        <v>553</v>
      </c>
      <c r="E246" t="s">
        <v>1127</v>
      </c>
      <c r="G246" t="s">
        <v>1607</v>
      </c>
      <c r="H246" t="s">
        <v>39</v>
      </c>
      <c r="J246" t="s">
        <v>1963</v>
      </c>
      <c r="K246" t="s">
        <v>2150</v>
      </c>
      <c r="L246" t="s">
        <v>2151</v>
      </c>
      <c r="M246" t="s">
        <v>1963</v>
      </c>
      <c r="N246" t="s">
        <v>2152</v>
      </c>
      <c r="S246" t="s">
        <v>2503</v>
      </c>
      <c r="V246">
        <v>0</v>
      </c>
    </row>
    <row r="247" spans="3:25" x14ac:dyDescent="0.4">
      <c r="C247" t="s">
        <v>4</v>
      </c>
      <c r="D247" t="s">
        <v>554</v>
      </c>
      <c r="E247" t="s">
        <v>1128</v>
      </c>
      <c r="G247" t="s">
        <v>963</v>
      </c>
      <c r="H247" t="s">
        <v>37</v>
      </c>
      <c r="J247">
        <v>0</v>
      </c>
      <c r="K247">
        <v>0</v>
      </c>
      <c r="L247">
        <v>0</v>
      </c>
      <c r="M247">
        <v>0</v>
      </c>
      <c r="N247">
        <v>0</v>
      </c>
      <c r="S247" t="s">
        <v>2506</v>
      </c>
      <c r="V247" t="s">
        <v>2540</v>
      </c>
      <c r="X247" s="4">
        <v>150000</v>
      </c>
    </row>
    <row r="248" spans="3:25" x14ac:dyDescent="0.4">
      <c r="C248" t="s">
        <v>4</v>
      </c>
      <c r="D248" t="s">
        <v>555</v>
      </c>
      <c r="E248" t="s">
        <v>1129</v>
      </c>
      <c r="G248" t="s">
        <v>963</v>
      </c>
      <c r="H248" t="s">
        <v>37</v>
      </c>
      <c r="I248" t="s">
        <v>1608</v>
      </c>
      <c r="J248" t="s">
        <v>1964</v>
      </c>
      <c r="K248" t="s">
        <v>2153</v>
      </c>
      <c r="L248" t="s">
        <v>2146</v>
      </c>
      <c r="M248" t="s">
        <v>1964</v>
      </c>
      <c r="N248" t="s">
        <v>2154</v>
      </c>
      <c r="S248" t="s">
        <v>2503</v>
      </c>
      <c r="U248" s="91">
        <v>45852</v>
      </c>
      <c r="V248" t="s">
        <v>2541</v>
      </c>
      <c r="Y248" t="s">
        <v>2596</v>
      </c>
    </row>
    <row r="249" spans="3:25" x14ac:dyDescent="0.4">
      <c r="C249" t="s">
        <v>4</v>
      </c>
      <c r="D249" t="s">
        <v>556</v>
      </c>
      <c r="E249" t="s">
        <v>1130</v>
      </c>
      <c r="G249" t="s">
        <v>1609</v>
      </c>
      <c r="H249" t="s">
        <v>37</v>
      </c>
      <c r="J249">
        <v>0</v>
      </c>
      <c r="K249">
        <v>0</v>
      </c>
      <c r="L249">
        <v>0</v>
      </c>
      <c r="M249">
        <v>0</v>
      </c>
      <c r="N249">
        <v>0</v>
      </c>
      <c r="S249" t="s">
        <v>2503</v>
      </c>
      <c r="V249">
        <v>0</v>
      </c>
    </row>
    <row r="250" spans="3:25" x14ac:dyDescent="0.4">
      <c r="C250" t="s">
        <v>3</v>
      </c>
      <c r="D250" t="s">
        <v>557</v>
      </c>
      <c r="E250" t="s">
        <v>1131</v>
      </c>
      <c r="G250" t="s">
        <v>963</v>
      </c>
      <c r="H250" t="s">
        <v>37</v>
      </c>
      <c r="J250">
        <v>0</v>
      </c>
      <c r="K250">
        <v>0</v>
      </c>
      <c r="L250">
        <v>0</v>
      </c>
      <c r="M250">
        <v>0</v>
      </c>
      <c r="N250">
        <v>0</v>
      </c>
      <c r="S250" t="s">
        <v>2503</v>
      </c>
      <c r="V250">
        <v>0</v>
      </c>
    </row>
    <row r="251" spans="3:25" x14ac:dyDescent="0.4">
      <c r="C251" t="s">
        <v>3</v>
      </c>
      <c r="D251" t="s">
        <v>558</v>
      </c>
      <c r="E251" t="s">
        <v>1132</v>
      </c>
      <c r="G251" t="s">
        <v>963</v>
      </c>
      <c r="H251" t="s">
        <v>37</v>
      </c>
      <c r="J251">
        <v>0</v>
      </c>
      <c r="K251">
        <v>0</v>
      </c>
      <c r="L251">
        <v>0</v>
      </c>
      <c r="M251">
        <v>0</v>
      </c>
      <c r="N251">
        <v>0</v>
      </c>
      <c r="S251" t="s">
        <v>2503</v>
      </c>
      <c r="V251">
        <v>0</v>
      </c>
    </row>
    <row r="252" spans="3:25" x14ac:dyDescent="0.4">
      <c r="C252" t="s">
        <v>4</v>
      </c>
      <c r="D252" t="s">
        <v>559</v>
      </c>
      <c r="E252" t="s">
        <v>1133</v>
      </c>
      <c r="G252" t="s">
        <v>1610</v>
      </c>
      <c r="H252" t="s">
        <v>36</v>
      </c>
      <c r="J252">
        <v>0</v>
      </c>
      <c r="K252">
        <v>0</v>
      </c>
      <c r="L252">
        <v>0</v>
      </c>
      <c r="M252">
        <v>0</v>
      </c>
      <c r="N252" t="s">
        <v>2155</v>
      </c>
      <c r="S252" t="s">
        <v>2505</v>
      </c>
      <c r="V252">
        <v>0</v>
      </c>
    </row>
    <row r="253" spans="3:25" x14ac:dyDescent="0.4">
      <c r="C253" t="s">
        <v>3</v>
      </c>
      <c r="D253" t="s">
        <v>560</v>
      </c>
      <c r="E253" t="s">
        <v>1134</v>
      </c>
      <c r="G253" t="s">
        <v>963</v>
      </c>
      <c r="H253" t="s">
        <v>37</v>
      </c>
      <c r="J253">
        <v>0</v>
      </c>
      <c r="K253">
        <v>0</v>
      </c>
      <c r="L253">
        <v>0</v>
      </c>
      <c r="M253">
        <v>0</v>
      </c>
      <c r="N253">
        <v>0</v>
      </c>
      <c r="S253" t="s">
        <v>2503</v>
      </c>
      <c r="V253">
        <v>0</v>
      </c>
    </row>
    <row r="254" spans="3:25" x14ac:dyDescent="0.4">
      <c r="C254" t="s">
        <v>5</v>
      </c>
      <c r="D254" t="s">
        <v>561</v>
      </c>
      <c r="E254" t="s">
        <v>1135</v>
      </c>
      <c r="G254" t="s">
        <v>1423</v>
      </c>
      <c r="H254" t="s">
        <v>35</v>
      </c>
      <c r="I254" t="s">
        <v>1611</v>
      </c>
      <c r="J254" t="s">
        <v>1965</v>
      </c>
      <c r="K254" t="s">
        <v>2156</v>
      </c>
      <c r="L254" t="s">
        <v>2157</v>
      </c>
      <c r="M254" t="s">
        <v>1965</v>
      </c>
      <c r="N254" t="s">
        <v>2158</v>
      </c>
      <c r="S254" t="s">
        <v>2503</v>
      </c>
      <c r="V254" t="s">
        <v>2542</v>
      </c>
    </row>
    <row r="255" spans="3:25" x14ac:dyDescent="0.4">
      <c r="C255" t="s">
        <v>3</v>
      </c>
      <c r="D255" t="s">
        <v>562</v>
      </c>
      <c r="E255" t="s">
        <v>1136</v>
      </c>
      <c r="G255" t="s">
        <v>963</v>
      </c>
      <c r="H255" t="s">
        <v>37</v>
      </c>
      <c r="J255">
        <v>0</v>
      </c>
      <c r="K255">
        <v>0</v>
      </c>
      <c r="L255">
        <v>0</v>
      </c>
      <c r="M255">
        <v>0</v>
      </c>
      <c r="N255">
        <v>0</v>
      </c>
      <c r="S255" t="s">
        <v>2503</v>
      </c>
      <c r="V255">
        <v>0</v>
      </c>
    </row>
    <row r="256" spans="3:25" x14ac:dyDescent="0.4">
      <c r="C256" t="s">
        <v>5</v>
      </c>
      <c r="D256" t="s">
        <v>563</v>
      </c>
      <c r="E256" t="s">
        <v>1137</v>
      </c>
      <c r="G256" t="s">
        <v>1612</v>
      </c>
      <c r="H256" t="s">
        <v>1613</v>
      </c>
      <c r="J256" t="s">
        <v>1966</v>
      </c>
      <c r="K256" t="s">
        <v>2159</v>
      </c>
      <c r="L256">
        <v>0</v>
      </c>
      <c r="M256" t="s">
        <v>1966</v>
      </c>
      <c r="N256" t="s">
        <v>2160</v>
      </c>
      <c r="S256" t="s">
        <v>2503</v>
      </c>
      <c r="V256">
        <v>0</v>
      </c>
    </row>
    <row r="257" spans="3:25" x14ac:dyDescent="0.4">
      <c r="C257" t="s">
        <v>4</v>
      </c>
      <c r="D257" t="s">
        <v>564</v>
      </c>
      <c r="E257" t="s">
        <v>1138</v>
      </c>
      <c r="G257" t="s">
        <v>940</v>
      </c>
      <c r="H257" t="s">
        <v>40</v>
      </c>
      <c r="J257">
        <v>0</v>
      </c>
      <c r="K257">
        <v>0</v>
      </c>
      <c r="L257">
        <v>0</v>
      </c>
      <c r="M257">
        <v>0</v>
      </c>
      <c r="N257">
        <v>0</v>
      </c>
      <c r="S257" t="s">
        <v>2503</v>
      </c>
      <c r="V257">
        <v>0</v>
      </c>
    </row>
    <row r="258" spans="3:25" x14ac:dyDescent="0.4">
      <c r="C258" t="s">
        <v>3</v>
      </c>
      <c r="D258" t="s">
        <v>565</v>
      </c>
      <c r="E258" t="s">
        <v>1139</v>
      </c>
      <c r="G258" t="s">
        <v>940</v>
      </c>
      <c r="H258" t="s">
        <v>40</v>
      </c>
      <c r="J258">
        <v>0</v>
      </c>
      <c r="K258">
        <v>0</v>
      </c>
      <c r="L258">
        <v>0</v>
      </c>
      <c r="M258">
        <v>0</v>
      </c>
      <c r="N258">
        <v>0</v>
      </c>
      <c r="S258" t="s">
        <v>2503</v>
      </c>
      <c r="V258">
        <v>0</v>
      </c>
    </row>
    <row r="259" spans="3:25" x14ac:dyDescent="0.4">
      <c r="C259" t="s">
        <v>4</v>
      </c>
      <c r="D259" t="s">
        <v>566</v>
      </c>
      <c r="E259" t="s">
        <v>1140</v>
      </c>
      <c r="G259" t="s">
        <v>1423</v>
      </c>
      <c r="H259" t="s">
        <v>35</v>
      </c>
      <c r="I259" t="s">
        <v>1614</v>
      </c>
      <c r="J259">
        <v>0</v>
      </c>
      <c r="K259">
        <v>0</v>
      </c>
      <c r="L259">
        <v>0</v>
      </c>
      <c r="M259">
        <v>0</v>
      </c>
      <c r="N259">
        <v>0</v>
      </c>
      <c r="S259" t="s">
        <v>2503</v>
      </c>
      <c r="V259">
        <v>0</v>
      </c>
    </row>
    <row r="260" spans="3:25" x14ac:dyDescent="0.4">
      <c r="C260" t="s">
        <v>4</v>
      </c>
      <c r="D260" t="s">
        <v>567</v>
      </c>
      <c r="E260" t="s">
        <v>1141</v>
      </c>
      <c r="G260" t="s">
        <v>1615</v>
      </c>
      <c r="H260" t="s">
        <v>37</v>
      </c>
      <c r="I260" t="s">
        <v>1616</v>
      </c>
      <c r="J260" t="s">
        <v>1967</v>
      </c>
      <c r="K260" t="s">
        <v>2161</v>
      </c>
      <c r="L260" t="s">
        <v>2162</v>
      </c>
      <c r="M260" t="s">
        <v>1967</v>
      </c>
      <c r="N260" t="s">
        <v>2163</v>
      </c>
      <c r="S260" t="s">
        <v>2503</v>
      </c>
      <c r="V260">
        <v>0</v>
      </c>
      <c r="Y260" t="s">
        <v>76</v>
      </c>
    </row>
    <row r="261" spans="3:25" x14ac:dyDescent="0.4">
      <c r="C261" t="s">
        <v>3</v>
      </c>
      <c r="D261" t="s">
        <v>568</v>
      </c>
      <c r="E261" t="s">
        <v>1142</v>
      </c>
      <c r="G261" t="s">
        <v>967</v>
      </c>
      <c r="H261" t="s">
        <v>37</v>
      </c>
      <c r="J261">
        <v>0</v>
      </c>
      <c r="K261">
        <v>0</v>
      </c>
      <c r="L261">
        <v>0</v>
      </c>
      <c r="M261">
        <v>0</v>
      </c>
      <c r="N261">
        <v>0</v>
      </c>
      <c r="S261" t="s">
        <v>2503</v>
      </c>
      <c r="V261">
        <v>0</v>
      </c>
    </row>
    <row r="262" spans="3:25" x14ac:dyDescent="0.4">
      <c r="C262" t="s">
        <v>5</v>
      </c>
      <c r="D262" t="s">
        <v>569</v>
      </c>
      <c r="E262" t="s">
        <v>1143</v>
      </c>
      <c r="G262" t="s">
        <v>963</v>
      </c>
      <c r="H262" t="s">
        <v>37</v>
      </c>
      <c r="J262">
        <v>0</v>
      </c>
      <c r="K262">
        <v>0</v>
      </c>
      <c r="L262">
        <v>0</v>
      </c>
      <c r="M262">
        <v>0</v>
      </c>
      <c r="N262">
        <v>0</v>
      </c>
      <c r="S262" t="s">
        <v>2503</v>
      </c>
      <c r="V262">
        <v>0</v>
      </c>
    </row>
    <row r="263" spans="3:25" x14ac:dyDescent="0.4">
      <c r="C263" t="s">
        <v>3</v>
      </c>
      <c r="D263" t="s">
        <v>570</v>
      </c>
      <c r="E263" t="s">
        <v>1144</v>
      </c>
      <c r="G263" t="s">
        <v>963</v>
      </c>
      <c r="H263" t="s">
        <v>37</v>
      </c>
      <c r="I263" t="s">
        <v>1617</v>
      </c>
      <c r="J263">
        <v>0</v>
      </c>
      <c r="K263">
        <v>0</v>
      </c>
      <c r="L263">
        <v>0</v>
      </c>
      <c r="M263">
        <v>0</v>
      </c>
      <c r="N263">
        <v>0</v>
      </c>
      <c r="S263" t="s">
        <v>2503</v>
      </c>
      <c r="V263">
        <v>0</v>
      </c>
    </row>
    <row r="264" spans="3:25" x14ac:dyDescent="0.4">
      <c r="C264" t="s">
        <v>3</v>
      </c>
      <c r="D264" t="s">
        <v>571</v>
      </c>
      <c r="E264" t="s">
        <v>963</v>
      </c>
      <c r="G264" t="s">
        <v>37</v>
      </c>
      <c r="H264" t="s">
        <v>37</v>
      </c>
      <c r="J264">
        <v>0</v>
      </c>
      <c r="K264">
        <v>0</v>
      </c>
      <c r="L264">
        <v>0</v>
      </c>
      <c r="M264">
        <v>0</v>
      </c>
      <c r="N264">
        <v>0</v>
      </c>
      <c r="S264" t="s">
        <v>2503</v>
      </c>
      <c r="V264">
        <v>0</v>
      </c>
    </row>
    <row r="265" spans="3:25" x14ac:dyDescent="0.4">
      <c r="C265" t="s">
        <v>3</v>
      </c>
      <c r="D265" t="s">
        <v>572</v>
      </c>
      <c r="E265" t="s">
        <v>1145</v>
      </c>
      <c r="G265" t="s">
        <v>963</v>
      </c>
      <c r="H265" t="s">
        <v>37</v>
      </c>
      <c r="I265" t="s">
        <v>1618</v>
      </c>
      <c r="J265">
        <v>0</v>
      </c>
      <c r="K265">
        <v>0</v>
      </c>
      <c r="L265">
        <v>0</v>
      </c>
      <c r="M265">
        <v>0</v>
      </c>
      <c r="N265">
        <v>0</v>
      </c>
      <c r="S265" t="s">
        <v>2503</v>
      </c>
      <c r="V265">
        <v>0</v>
      </c>
    </row>
    <row r="266" spans="3:25" x14ac:dyDescent="0.4">
      <c r="C266" t="s">
        <v>4</v>
      </c>
      <c r="D266" t="s">
        <v>573</v>
      </c>
      <c r="E266" t="s">
        <v>1146</v>
      </c>
      <c r="G266" t="s">
        <v>1417</v>
      </c>
      <c r="H266" t="s">
        <v>35</v>
      </c>
      <c r="I266" t="s">
        <v>1619</v>
      </c>
      <c r="J266" t="s">
        <v>1968</v>
      </c>
      <c r="K266" t="s">
        <v>2164</v>
      </c>
      <c r="L266" t="s">
        <v>2165</v>
      </c>
      <c r="M266" t="s">
        <v>1968</v>
      </c>
      <c r="N266" t="s">
        <v>2166</v>
      </c>
      <c r="S266" t="s">
        <v>2503</v>
      </c>
      <c r="V266">
        <v>0</v>
      </c>
    </row>
    <row r="267" spans="3:25" x14ac:dyDescent="0.4">
      <c r="C267" t="s">
        <v>4</v>
      </c>
      <c r="D267" t="s">
        <v>574</v>
      </c>
      <c r="E267" t="s">
        <v>1147</v>
      </c>
      <c r="G267" t="s">
        <v>1423</v>
      </c>
      <c r="H267" t="s">
        <v>35</v>
      </c>
      <c r="I267" t="s">
        <v>1620</v>
      </c>
      <c r="J267">
        <v>0</v>
      </c>
      <c r="K267" t="s">
        <v>2167</v>
      </c>
      <c r="L267" t="s">
        <v>2146</v>
      </c>
      <c r="M267" t="s">
        <v>2168</v>
      </c>
      <c r="N267" t="s">
        <v>2169</v>
      </c>
      <c r="S267" t="s">
        <v>2507</v>
      </c>
      <c r="V267">
        <v>0</v>
      </c>
    </row>
    <row r="268" spans="3:25" x14ac:dyDescent="0.4">
      <c r="C268" t="s">
        <v>3</v>
      </c>
      <c r="D268" t="s">
        <v>575</v>
      </c>
      <c r="E268" t="s">
        <v>1148</v>
      </c>
      <c r="G268" t="s">
        <v>1423</v>
      </c>
      <c r="H268" t="s">
        <v>35</v>
      </c>
      <c r="I268" t="s">
        <v>1621</v>
      </c>
      <c r="J268">
        <v>0</v>
      </c>
      <c r="K268">
        <v>0</v>
      </c>
      <c r="L268">
        <v>0</v>
      </c>
      <c r="M268">
        <v>0</v>
      </c>
      <c r="N268">
        <v>0</v>
      </c>
      <c r="S268" t="s">
        <v>2503</v>
      </c>
      <c r="V268">
        <v>0</v>
      </c>
    </row>
    <row r="269" spans="3:25" x14ac:dyDescent="0.4">
      <c r="C269" t="s">
        <v>5</v>
      </c>
      <c r="D269" t="s">
        <v>576</v>
      </c>
      <c r="E269" t="s">
        <v>1149</v>
      </c>
      <c r="G269" t="s">
        <v>1622</v>
      </c>
      <c r="H269" t="s">
        <v>1613</v>
      </c>
      <c r="I269" t="s">
        <v>1623</v>
      </c>
      <c r="J269">
        <v>0</v>
      </c>
      <c r="K269" t="s">
        <v>2170</v>
      </c>
      <c r="L269" t="s">
        <v>84</v>
      </c>
      <c r="M269" t="s">
        <v>2171</v>
      </c>
      <c r="N269" t="s">
        <v>2172</v>
      </c>
      <c r="S269" t="s">
        <v>2503</v>
      </c>
      <c r="V269">
        <v>0</v>
      </c>
    </row>
    <row r="270" spans="3:25" x14ac:dyDescent="0.4">
      <c r="C270" t="s">
        <v>3</v>
      </c>
      <c r="D270" t="s">
        <v>577</v>
      </c>
      <c r="E270" t="s">
        <v>963</v>
      </c>
      <c r="G270" t="s">
        <v>37</v>
      </c>
      <c r="H270" t="s">
        <v>37</v>
      </c>
      <c r="J270">
        <v>0</v>
      </c>
      <c r="K270">
        <v>0</v>
      </c>
      <c r="L270">
        <v>0</v>
      </c>
      <c r="M270">
        <v>0</v>
      </c>
      <c r="N270">
        <v>0</v>
      </c>
      <c r="S270" t="s">
        <v>2503</v>
      </c>
      <c r="V270">
        <v>0</v>
      </c>
    </row>
    <row r="271" spans="3:25" x14ac:dyDescent="0.4">
      <c r="C271" t="s">
        <v>3</v>
      </c>
      <c r="D271" t="s">
        <v>578</v>
      </c>
      <c r="E271" t="s">
        <v>1150</v>
      </c>
      <c r="G271" t="s">
        <v>1489</v>
      </c>
      <c r="H271" t="s">
        <v>37</v>
      </c>
      <c r="I271" t="s">
        <v>37</v>
      </c>
      <c r="J271">
        <v>0</v>
      </c>
      <c r="K271" t="s">
        <v>2173</v>
      </c>
      <c r="L271">
        <v>0</v>
      </c>
      <c r="M271">
        <v>966508799717</v>
      </c>
      <c r="N271" t="s">
        <v>2174</v>
      </c>
      <c r="S271" t="s">
        <v>2503</v>
      </c>
      <c r="V271">
        <v>0</v>
      </c>
    </row>
    <row r="272" spans="3:25" x14ac:dyDescent="0.4">
      <c r="C272" t="s">
        <v>4</v>
      </c>
      <c r="D272" t="s">
        <v>579</v>
      </c>
      <c r="E272" t="s">
        <v>1151</v>
      </c>
      <c r="G272" t="s">
        <v>1624</v>
      </c>
      <c r="H272" t="s">
        <v>37</v>
      </c>
      <c r="J272">
        <v>0</v>
      </c>
      <c r="K272" t="s">
        <v>2175</v>
      </c>
      <c r="L272">
        <v>0</v>
      </c>
      <c r="M272">
        <v>0</v>
      </c>
      <c r="N272">
        <v>0</v>
      </c>
      <c r="S272" t="s">
        <v>2504</v>
      </c>
      <c r="U272" s="91">
        <v>45921</v>
      </c>
      <c r="V272" t="s">
        <v>2543</v>
      </c>
      <c r="Y272" t="s">
        <v>29</v>
      </c>
    </row>
    <row r="273" spans="3:25" x14ac:dyDescent="0.4">
      <c r="C273" t="s">
        <v>4</v>
      </c>
      <c r="D273" t="s">
        <v>580</v>
      </c>
      <c r="E273" t="s">
        <v>1152</v>
      </c>
      <c r="G273" t="s">
        <v>1928</v>
      </c>
      <c r="H273" t="s">
        <v>37</v>
      </c>
      <c r="J273">
        <v>0</v>
      </c>
      <c r="K273">
        <v>0</v>
      </c>
      <c r="L273">
        <v>0</v>
      </c>
      <c r="M273">
        <v>0</v>
      </c>
      <c r="N273">
        <v>0</v>
      </c>
      <c r="S273" t="s">
        <v>2503</v>
      </c>
      <c r="V273" t="s">
        <v>2544</v>
      </c>
      <c r="Y273" t="s">
        <v>29</v>
      </c>
    </row>
    <row r="274" spans="3:25" x14ac:dyDescent="0.4">
      <c r="C274" t="s">
        <v>3</v>
      </c>
      <c r="D274" t="s">
        <v>581</v>
      </c>
      <c r="E274" t="s">
        <v>1153</v>
      </c>
      <c r="G274" t="s">
        <v>1524</v>
      </c>
      <c r="H274" t="s">
        <v>35</v>
      </c>
      <c r="J274">
        <v>0</v>
      </c>
      <c r="K274">
        <v>0</v>
      </c>
      <c r="L274">
        <v>0</v>
      </c>
      <c r="M274">
        <v>0</v>
      </c>
      <c r="N274">
        <v>0</v>
      </c>
      <c r="S274" t="s">
        <v>2503</v>
      </c>
      <c r="V274">
        <v>0</v>
      </c>
    </row>
    <row r="275" spans="3:25" x14ac:dyDescent="0.4">
      <c r="C275" t="s">
        <v>3</v>
      </c>
      <c r="D275" t="s">
        <v>582</v>
      </c>
      <c r="E275" t="s">
        <v>1154</v>
      </c>
      <c r="G275" t="s">
        <v>1154</v>
      </c>
      <c r="H275" t="s">
        <v>37</v>
      </c>
      <c r="I275" t="s">
        <v>1625</v>
      </c>
      <c r="J275">
        <v>0</v>
      </c>
      <c r="K275">
        <v>0</v>
      </c>
      <c r="L275">
        <v>0</v>
      </c>
      <c r="M275">
        <v>0</v>
      </c>
      <c r="N275">
        <v>0</v>
      </c>
      <c r="S275" t="s">
        <v>2503</v>
      </c>
      <c r="V275">
        <v>0</v>
      </c>
    </row>
    <row r="276" spans="3:25" x14ac:dyDescent="0.4">
      <c r="C276" t="s">
        <v>3</v>
      </c>
      <c r="D276" t="s">
        <v>583</v>
      </c>
      <c r="E276" t="s">
        <v>1155</v>
      </c>
      <c r="G276" t="s">
        <v>1626</v>
      </c>
      <c r="H276" t="s">
        <v>37</v>
      </c>
      <c r="J276">
        <v>0</v>
      </c>
      <c r="K276">
        <v>0</v>
      </c>
      <c r="L276">
        <v>0</v>
      </c>
      <c r="M276">
        <v>0</v>
      </c>
      <c r="N276">
        <v>0</v>
      </c>
      <c r="S276" t="s">
        <v>2503</v>
      </c>
      <c r="V276">
        <v>0</v>
      </c>
    </row>
    <row r="277" spans="3:25" x14ac:dyDescent="0.4">
      <c r="C277" t="s">
        <v>3</v>
      </c>
      <c r="D277" t="s">
        <v>584</v>
      </c>
      <c r="E277" t="s">
        <v>1156</v>
      </c>
      <c r="G277" t="s">
        <v>963</v>
      </c>
      <c r="H277" t="s">
        <v>37</v>
      </c>
      <c r="I277" t="s">
        <v>1929</v>
      </c>
      <c r="J277" t="s">
        <v>1969</v>
      </c>
      <c r="K277" t="s">
        <v>2176</v>
      </c>
      <c r="L277">
        <v>0</v>
      </c>
      <c r="M277" t="s">
        <v>2177</v>
      </c>
      <c r="N277" t="s">
        <v>2178</v>
      </c>
      <c r="S277" t="s">
        <v>2503</v>
      </c>
      <c r="V277">
        <v>0</v>
      </c>
    </row>
    <row r="278" spans="3:25" x14ac:dyDescent="0.4">
      <c r="C278" t="s">
        <v>3</v>
      </c>
      <c r="D278" t="s">
        <v>582</v>
      </c>
      <c r="E278" t="s">
        <v>1154</v>
      </c>
      <c r="G278" t="s">
        <v>37</v>
      </c>
      <c r="H278" t="s">
        <v>37</v>
      </c>
      <c r="I278" t="s">
        <v>1625</v>
      </c>
      <c r="J278">
        <v>0</v>
      </c>
      <c r="K278">
        <v>0</v>
      </c>
      <c r="L278">
        <v>0</v>
      </c>
      <c r="M278">
        <v>0</v>
      </c>
      <c r="N278">
        <v>0</v>
      </c>
      <c r="S278" t="s">
        <v>2503</v>
      </c>
      <c r="V278">
        <v>0</v>
      </c>
    </row>
    <row r="279" spans="3:25" x14ac:dyDescent="0.4">
      <c r="C279" t="s">
        <v>3</v>
      </c>
      <c r="D279" t="s">
        <v>585</v>
      </c>
      <c r="E279" t="s">
        <v>1157</v>
      </c>
      <c r="G279" t="s">
        <v>967</v>
      </c>
      <c r="H279" t="s">
        <v>37</v>
      </c>
      <c r="J279">
        <v>0</v>
      </c>
      <c r="K279">
        <v>0</v>
      </c>
      <c r="L279">
        <v>0</v>
      </c>
      <c r="M279">
        <v>0</v>
      </c>
      <c r="N279">
        <v>0</v>
      </c>
      <c r="S279" t="s">
        <v>2503</v>
      </c>
      <c r="V279">
        <v>0</v>
      </c>
    </row>
    <row r="280" spans="3:25" x14ac:dyDescent="0.4">
      <c r="C280" t="s">
        <v>3</v>
      </c>
      <c r="D280" t="s">
        <v>586</v>
      </c>
      <c r="E280" t="s">
        <v>998</v>
      </c>
      <c r="G280" t="s">
        <v>963</v>
      </c>
      <c r="H280" t="s">
        <v>37</v>
      </c>
      <c r="I280" t="s">
        <v>1627</v>
      </c>
      <c r="J280">
        <v>0</v>
      </c>
      <c r="K280">
        <v>0</v>
      </c>
      <c r="L280">
        <v>0</v>
      </c>
      <c r="M280">
        <v>0</v>
      </c>
      <c r="N280" t="s">
        <v>2179</v>
      </c>
      <c r="S280" t="s">
        <v>2503</v>
      </c>
      <c r="V280">
        <v>0</v>
      </c>
    </row>
    <row r="281" spans="3:25" x14ac:dyDescent="0.4">
      <c r="C281" t="s">
        <v>3</v>
      </c>
      <c r="D281" t="s">
        <v>587</v>
      </c>
      <c r="E281" t="s">
        <v>963</v>
      </c>
      <c r="G281" t="s">
        <v>37</v>
      </c>
      <c r="J281">
        <v>0</v>
      </c>
      <c r="K281">
        <v>0</v>
      </c>
      <c r="L281">
        <v>0</v>
      </c>
      <c r="M281">
        <v>0</v>
      </c>
      <c r="N281">
        <v>0</v>
      </c>
      <c r="S281" t="s">
        <v>2503</v>
      </c>
      <c r="V281">
        <v>0</v>
      </c>
    </row>
    <row r="282" spans="3:25" x14ac:dyDescent="0.4">
      <c r="C282" t="s">
        <v>4</v>
      </c>
      <c r="D282" t="s">
        <v>588</v>
      </c>
      <c r="E282" t="s">
        <v>1158</v>
      </c>
      <c r="G282" t="s">
        <v>1423</v>
      </c>
      <c r="H282" t="s">
        <v>35</v>
      </c>
      <c r="I282" t="s">
        <v>1628</v>
      </c>
      <c r="J282">
        <v>0</v>
      </c>
      <c r="K282">
        <v>0</v>
      </c>
      <c r="L282">
        <v>0</v>
      </c>
      <c r="M282">
        <v>0</v>
      </c>
      <c r="N282">
        <v>0</v>
      </c>
      <c r="S282" t="s">
        <v>2503</v>
      </c>
      <c r="V282">
        <v>0</v>
      </c>
      <c r="Y282" t="s">
        <v>253</v>
      </c>
    </row>
    <row r="283" spans="3:25" x14ac:dyDescent="0.4">
      <c r="C283" t="s">
        <v>4</v>
      </c>
      <c r="D283" t="s">
        <v>589</v>
      </c>
      <c r="E283" t="s">
        <v>1159</v>
      </c>
      <c r="G283" t="s">
        <v>1154</v>
      </c>
      <c r="H283" t="s">
        <v>37</v>
      </c>
      <c r="I283" t="s">
        <v>1629</v>
      </c>
      <c r="J283">
        <v>0</v>
      </c>
      <c r="K283">
        <v>0</v>
      </c>
      <c r="L283">
        <v>0</v>
      </c>
      <c r="M283">
        <v>0</v>
      </c>
      <c r="N283">
        <v>0</v>
      </c>
      <c r="S283" t="s">
        <v>2503</v>
      </c>
      <c r="V283">
        <v>0</v>
      </c>
      <c r="X283" s="4">
        <v>0</v>
      </c>
      <c r="Y283" t="s">
        <v>29</v>
      </c>
    </row>
    <row r="284" spans="3:25" x14ac:dyDescent="0.4">
      <c r="C284" t="s">
        <v>5</v>
      </c>
      <c r="D284" t="s">
        <v>590</v>
      </c>
      <c r="E284" t="s">
        <v>1160</v>
      </c>
      <c r="G284" t="s">
        <v>1423</v>
      </c>
      <c r="H284" t="s">
        <v>35</v>
      </c>
      <c r="I284" t="s">
        <v>1630</v>
      </c>
      <c r="J284" t="s">
        <v>1970</v>
      </c>
      <c r="K284" t="s">
        <v>2180</v>
      </c>
      <c r="L284" t="s">
        <v>2181</v>
      </c>
      <c r="N284" t="s">
        <v>2182</v>
      </c>
      <c r="S284" t="s">
        <v>2503</v>
      </c>
      <c r="V284">
        <v>0</v>
      </c>
    </row>
    <row r="285" spans="3:25" x14ac:dyDescent="0.4">
      <c r="C285" t="s">
        <v>4</v>
      </c>
      <c r="D285" t="s">
        <v>591</v>
      </c>
      <c r="E285" t="s">
        <v>1161</v>
      </c>
      <c r="G285" t="s">
        <v>1423</v>
      </c>
      <c r="H285" t="s">
        <v>35</v>
      </c>
      <c r="I285" t="s">
        <v>1631</v>
      </c>
      <c r="J285">
        <v>0</v>
      </c>
      <c r="K285">
        <v>0</v>
      </c>
      <c r="L285">
        <v>0</v>
      </c>
      <c r="N285">
        <v>0</v>
      </c>
      <c r="S285" t="s">
        <v>2505</v>
      </c>
      <c r="V285" t="s">
        <v>2545</v>
      </c>
      <c r="W285" t="s">
        <v>2597</v>
      </c>
      <c r="Y285" t="s">
        <v>2595</v>
      </c>
    </row>
    <row r="286" spans="3:25" x14ac:dyDescent="0.4">
      <c r="C286" t="s">
        <v>3</v>
      </c>
      <c r="D286" t="s">
        <v>592</v>
      </c>
      <c r="E286" t="s">
        <v>1162</v>
      </c>
      <c r="G286" t="s">
        <v>1154</v>
      </c>
      <c r="H286" t="s">
        <v>37</v>
      </c>
      <c r="J286" t="s">
        <v>1971</v>
      </c>
      <c r="K286" t="s">
        <v>2183</v>
      </c>
      <c r="L286">
        <v>0</v>
      </c>
      <c r="N286" t="s">
        <v>2184</v>
      </c>
      <c r="S286" t="s">
        <v>2503</v>
      </c>
      <c r="V286">
        <v>0</v>
      </c>
    </row>
    <row r="287" spans="3:25" x14ac:dyDescent="0.4">
      <c r="C287" t="s">
        <v>4</v>
      </c>
      <c r="D287" t="s">
        <v>593</v>
      </c>
      <c r="E287" t="s">
        <v>1163</v>
      </c>
      <c r="G287" t="s">
        <v>963</v>
      </c>
      <c r="H287" t="s">
        <v>37</v>
      </c>
      <c r="I287" t="s">
        <v>1632</v>
      </c>
      <c r="J287" t="s">
        <v>1972</v>
      </c>
      <c r="K287" t="s">
        <v>2185</v>
      </c>
      <c r="L287" t="s">
        <v>2186</v>
      </c>
      <c r="M287">
        <v>0</v>
      </c>
      <c r="N287" t="s">
        <v>2187</v>
      </c>
      <c r="S287" t="s">
        <v>2503</v>
      </c>
      <c r="V287">
        <v>0</v>
      </c>
    </row>
    <row r="288" spans="3:25" x14ac:dyDescent="0.4">
      <c r="C288" t="s">
        <v>4</v>
      </c>
      <c r="D288" t="s">
        <v>594</v>
      </c>
      <c r="E288" t="s">
        <v>1164</v>
      </c>
      <c r="G288" t="s">
        <v>963</v>
      </c>
      <c r="H288" t="s">
        <v>37</v>
      </c>
      <c r="I288" t="s">
        <v>1633</v>
      </c>
      <c r="J288" t="s">
        <v>1973</v>
      </c>
      <c r="K288">
        <v>0</v>
      </c>
      <c r="L288">
        <v>0</v>
      </c>
      <c r="M288">
        <v>0</v>
      </c>
      <c r="N288">
        <v>0</v>
      </c>
      <c r="S288" t="s">
        <v>2503</v>
      </c>
      <c r="V288">
        <v>0</v>
      </c>
    </row>
    <row r="289" spans="3:25" x14ac:dyDescent="0.4">
      <c r="C289" t="s">
        <v>4</v>
      </c>
      <c r="D289" t="s">
        <v>595</v>
      </c>
      <c r="E289" t="s">
        <v>1165</v>
      </c>
      <c r="G289" t="s">
        <v>1634</v>
      </c>
      <c r="H289" t="s">
        <v>38</v>
      </c>
      <c r="I289" t="s">
        <v>1635</v>
      </c>
      <c r="J289" t="s">
        <v>1974</v>
      </c>
      <c r="K289" t="s">
        <v>2188</v>
      </c>
      <c r="L289" t="s">
        <v>83</v>
      </c>
      <c r="M289" t="s">
        <v>2189</v>
      </c>
      <c r="N289" t="s">
        <v>2190</v>
      </c>
      <c r="S289" t="s">
        <v>2510</v>
      </c>
      <c r="V289">
        <v>0</v>
      </c>
    </row>
    <row r="290" spans="3:25" x14ac:dyDescent="0.4">
      <c r="C290" t="s">
        <v>3</v>
      </c>
      <c r="D290" t="s">
        <v>596</v>
      </c>
      <c r="E290" t="s">
        <v>1166</v>
      </c>
      <c r="G290" t="s">
        <v>1636</v>
      </c>
      <c r="H290" t="s">
        <v>63</v>
      </c>
      <c r="J290">
        <v>0</v>
      </c>
      <c r="K290">
        <v>0</v>
      </c>
      <c r="L290">
        <v>0</v>
      </c>
      <c r="M290">
        <v>0</v>
      </c>
      <c r="N290">
        <v>0</v>
      </c>
      <c r="S290" t="s">
        <v>2503</v>
      </c>
      <c r="V290">
        <v>0</v>
      </c>
    </row>
    <row r="291" spans="3:25" x14ac:dyDescent="0.4">
      <c r="C291" t="s">
        <v>4</v>
      </c>
      <c r="D291" t="s">
        <v>597</v>
      </c>
      <c r="E291" t="s">
        <v>1167</v>
      </c>
      <c r="G291" t="s">
        <v>940</v>
      </c>
      <c r="H291" t="s">
        <v>40</v>
      </c>
      <c r="J291">
        <v>0</v>
      </c>
      <c r="K291">
        <v>0</v>
      </c>
      <c r="L291">
        <v>0</v>
      </c>
      <c r="M291">
        <v>0</v>
      </c>
      <c r="N291">
        <v>0</v>
      </c>
      <c r="S291" t="s">
        <v>2503</v>
      </c>
      <c r="V291">
        <v>0</v>
      </c>
    </row>
    <row r="292" spans="3:25" x14ac:dyDescent="0.4">
      <c r="C292" t="s">
        <v>4</v>
      </c>
      <c r="D292" t="s">
        <v>598</v>
      </c>
      <c r="E292" t="s">
        <v>1168</v>
      </c>
      <c r="G292" t="s">
        <v>963</v>
      </c>
      <c r="H292" t="s">
        <v>37</v>
      </c>
      <c r="J292">
        <v>0</v>
      </c>
      <c r="K292">
        <v>0</v>
      </c>
      <c r="L292">
        <v>0</v>
      </c>
      <c r="M292">
        <v>0</v>
      </c>
      <c r="N292">
        <v>0</v>
      </c>
      <c r="S292" t="s">
        <v>2505</v>
      </c>
      <c r="V292">
        <v>0</v>
      </c>
      <c r="W292" t="s">
        <v>2598</v>
      </c>
      <c r="X292" s="4">
        <v>150000</v>
      </c>
      <c r="Y292" t="s">
        <v>29</v>
      </c>
    </row>
    <row r="293" spans="3:25" x14ac:dyDescent="0.4">
      <c r="C293" t="s">
        <v>4</v>
      </c>
      <c r="D293" t="s">
        <v>599</v>
      </c>
      <c r="E293" t="s">
        <v>1169</v>
      </c>
      <c r="G293" t="s">
        <v>963</v>
      </c>
      <c r="H293" t="s">
        <v>37</v>
      </c>
      <c r="J293">
        <v>0</v>
      </c>
      <c r="K293">
        <v>0</v>
      </c>
      <c r="L293">
        <v>0</v>
      </c>
      <c r="M293">
        <v>0</v>
      </c>
      <c r="N293">
        <v>0</v>
      </c>
      <c r="S293" t="s">
        <v>2506</v>
      </c>
      <c r="V293">
        <v>0</v>
      </c>
      <c r="X293" s="4">
        <v>50000</v>
      </c>
    </row>
    <row r="294" spans="3:25" x14ac:dyDescent="0.4">
      <c r="C294" t="s">
        <v>5</v>
      </c>
      <c r="D294" t="s">
        <v>600</v>
      </c>
      <c r="E294" t="s">
        <v>1170</v>
      </c>
      <c r="G294" t="s">
        <v>1423</v>
      </c>
      <c r="H294" t="s">
        <v>35</v>
      </c>
      <c r="I294" t="s">
        <v>1637</v>
      </c>
      <c r="J294" t="s">
        <v>1975</v>
      </c>
      <c r="K294">
        <v>0</v>
      </c>
      <c r="L294">
        <v>0</v>
      </c>
      <c r="M294">
        <v>0</v>
      </c>
      <c r="N294">
        <v>0</v>
      </c>
      <c r="S294" t="s">
        <v>2503</v>
      </c>
      <c r="V294" t="s">
        <v>2546</v>
      </c>
    </row>
    <row r="295" spans="3:25" x14ac:dyDescent="0.4">
      <c r="C295" t="s">
        <v>5</v>
      </c>
      <c r="D295" t="s">
        <v>601</v>
      </c>
      <c r="E295" t="s">
        <v>1171</v>
      </c>
      <c r="G295" t="s">
        <v>1417</v>
      </c>
      <c r="H295" t="s">
        <v>35</v>
      </c>
      <c r="J295">
        <v>0</v>
      </c>
      <c r="K295" t="s">
        <v>2191</v>
      </c>
      <c r="L295" t="s">
        <v>2192</v>
      </c>
      <c r="M295" t="s">
        <v>2193</v>
      </c>
      <c r="N295" t="s">
        <v>2194</v>
      </c>
      <c r="S295" t="s">
        <v>2503</v>
      </c>
      <c r="V295" t="s">
        <v>2547</v>
      </c>
    </row>
    <row r="296" spans="3:25" x14ac:dyDescent="0.4">
      <c r="C296" t="s">
        <v>4</v>
      </c>
      <c r="D296" t="s">
        <v>602</v>
      </c>
      <c r="E296" t="s">
        <v>1172</v>
      </c>
      <c r="G296" t="s">
        <v>1417</v>
      </c>
      <c r="H296" t="s">
        <v>35</v>
      </c>
      <c r="I296" t="s">
        <v>1638</v>
      </c>
      <c r="J296">
        <v>0</v>
      </c>
      <c r="K296" t="s">
        <v>2195</v>
      </c>
      <c r="L296" t="s">
        <v>83</v>
      </c>
      <c r="M296">
        <v>0</v>
      </c>
      <c r="N296">
        <v>0</v>
      </c>
      <c r="S296" t="s">
        <v>2508</v>
      </c>
      <c r="V296" t="s">
        <v>2548</v>
      </c>
      <c r="W296" t="s">
        <v>2599</v>
      </c>
      <c r="X296" s="4">
        <v>200000</v>
      </c>
      <c r="Y296" t="s">
        <v>2595</v>
      </c>
    </row>
    <row r="297" spans="3:25" x14ac:dyDescent="0.4">
      <c r="C297" t="s">
        <v>4</v>
      </c>
      <c r="D297" t="s">
        <v>603</v>
      </c>
      <c r="E297" t="s">
        <v>1173</v>
      </c>
      <c r="G297" t="s">
        <v>966</v>
      </c>
      <c r="H297" t="s">
        <v>38</v>
      </c>
      <c r="I297" t="s">
        <v>1639</v>
      </c>
      <c r="J297" t="s">
        <v>1976</v>
      </c>
      <c r="K297" t="s">
        <v>2196</v>
      </c>
      <c r="L297" t="s">
        <v>2197</v>
      </c>
      <c r="M297" t="s">
        <v>2198</v>
      </c>
      <c r="N297" t="s">
        <v>2199</v>
      </c>
      <c r="S297" t="s">
        <v>2505</v>
      </c>
      <c r="V297">
        <v>0</v>
      </c>
    </row>
    <row r="298" spans="3:25" x14ac:dyDescent="0.4">
      <c r="C298" t="s">
        <v>3</v>
      </c>
      <c r="D298" t="s">
        <v>604</v>
      </c>
      <c r="E298" t="s">
        <v>1174</v>
      </c>
      <c r="G298" t="s">
        <v>966</v>
      </c>
      <c r="H298" t="s">
        <v>38</v>
      </c>
      <c r="J298">
        <v>0</v>
      </c>
      <c r="K298">
        <v>0</v>
      </c>
      <c r="L298">
        <v>0</v>
      </c>
      <c r="M298">
        <v>0</v>
      </c>
      <c r="N298">
        <v>0</v>
      </c>
      <c r="S298" t="s">
        <v>2503</v>
      </c>
      <c r="V298">
        <v>0</v>
      </c>
    </row>
    <row r="299" spans="3:25" x14ac:dyDescent="0.4">
      <c r="C299" t="s">
        <v>3</v>
      </c>
      <c r="D299" t="s">
        <v>605</v>
      </c>
      <c r="E299" t="s">
        <v>1175</v>
      </c>
      <c r="G299" t="s">
        <v>940</v>
      </c>
      <c r="H299" t="s">
        <v>40</v>
      </c>
      <c r="J299">
        <v>0</v>
      </c>
      <c r="K299">
        <v>0</v>
      </c>
      <c r="L299">
        <v>0</v>
      </c>
      <c r="M299">
        <v>0</v>
      </c>
      <c r="N299">
        <v>0</v>
      </c>
      <c r="S299" t="s">
        <v>2503</v>
      </c>
      <c r="V299">
        <v>0</v>
      </c>
    </row>
    <row r="300" spans="3:25" x14ac:dyDescent="0.4">
      <c r="C300" t="s">
        <v>3</v>
      </c>
      <c r="D300" t="s">
        <v>606</v>
      </c>
      <c r="E300" t="s">
        <v>1176</v>
      </c>
      <c r="G300" t="s">
        <v>940</v>
      </c>
      <c r="H300" t="s">
        <v>40</v>
      </c>
      <c r="J300">
        <v>0</v>
      </c>
      <c r="K300">
        <v>0</v>
      </c>
      <c r="L300">
        <v>0</v>
      </c>
      <c r="M300">
        <v>0</v>
      </c>
      <c r="N300">
        <v>0</v>
      </c>
      <c r="S300" t="s">
        <v>2503</v>
      </c>
      <c r="V300">
        <v>0</v>
      </c>
    </row>
    <row r="301" spans="3:25" x14ac:dyDescent="0.4">
      <c r="C301" t="s">
        <v>3</v>
      </c>
      <c r="D301" t="s">
        <v>607</v>
      </c>
      <c r="E301" t="s">
        <v>963</v>
      </c>
      <c r="G301" t="s">
        <v>963</v>
      </c>
      <c r="H301" t="s">
        <v>37</v>
      </c>
      <c r="J301">
        <v>0</v>
      </c>
      <c r="K301">
        <v>0</v>
      </c>
      <c r="L301">
        <v>0</v>
      </c>
      <c r="M301">
        <v>0</v>
      </c>
      <c r="N301">
        <v>0</v>
      </c>
      <c r="S301" t="s">
        <v>2503</v>
      </c>
      <c r="V301">
        <v>0</v>
      </c>
    </row>
    <row r="302" spans="3:25" x14ac:dyDescent="0.4">
      <c r="C302" t="s">
        <v>3</v>
      </c>
      <c r="D302" t="s">
        <v>608</v>
      </c>
      <c r="E302" t="s">
        <v>1177</v>
      </c>
      <c r="G302" t="s">
        <v>963</v>
      </c>
      <c r="H302" t="s">
        <v>37</v>
      </c>
      <c r="J302">
        <v>0</v>
      </c>
      <c r="K302" t="s">
        <v>2200</v>
      </c>
      <c r="L302">
        <v>0</v>
      </c>
      <c r="M302">
        <v>966551058527</v>
      </c>
      <c r="N302" t="s">
        <v>2201</v>
      </c>
      <c r="S302" t="s">
        <v>2503</v>
      </c>
      <c r="V302">
        <v>0</v>
      </c>
    </row>
    <row r="303" spans="3:25" x14ac:dyDescent="0.4">
      <c r="C303" t="s">
        <v>4</v>
      </c>
      <c r="D303" t="s">
        <v>609</v>
      </c>
      <c r="E303" t="s">
        <v>1178</v>
      </c>
      <c r="G303" t="s">
        <v>963</v>
      </c>
      <c r="H303" t="s">
        <v>37</v>
      </c>
      <c r="J303">
        <v>0</v>
      </c>
      <c r="K303">
        <v>0</v>
      </c>
      <c r="L303">
        <v>0</v>
      </c>
      <c r="M303">
        <v>0</v>
      </c>
      <c r="N303">
        <v>0</v>
      </c>
      <c r="S303" t="s">
        <v>2503</v>
      </c>
      <c r="V303">
        <v>0</v>
      </c>
    </row>
    <row r="304" spans="3:25" x14ac:dyDescent="0.4">
      <c r="C304" t="s">
        <v>5</v>
      </c>
      <c r="D304" t="s">
        <v>610</v>
      </c>
      <c r="E304" t="s">
        <v>1179</v>
      </c>
      <c r="G304" t="s">
        <v>1640</v>
      </c>
      <c r="H304" t="s">
        <v>1641</v>
      </c>
      <c r="J304">
        <v>0</v>
      </c>
      <c r="K304">
        <v>0</v>
      </c>
      <c r="L304">
        <v>0</v>
      </c>
      <c r="M304">
        <v>0</v>
      </c>
      <c r="N304">
        <v>0</v>
      </c>
      <c r="S304" t="s">
        <v>2503</v>
      </c>
      <c r="V304">
        <v>0</v>
      </c>
    </row>
    <row r="305" spans="3:25" x14ac:dyDescent="0.4">
      <c r="C305" t="s">
        <v>3</v>
      </c>
      <c r="D305" t="s">
        <v>611</v>
      </c>
      <c r="E305" t="s">
        <v>1180</v>
      </c>
      <c r="G305" t="s">
        <v>963</v>
      </c>
      <c r="H305" t="s">
        <v>37</v>
      </c>
      <c r="I305" t="s">
        <v>1642</v>
      </c>
      <c r="J305">
        <v>0</v>
      </c>
      <c r="K305">
        <v>0</v>
      </c>
      <c r="L305">
        <v>0</v>
      </c>
      <c r="M305">
        <v>0</v>
      </c>
      <c r="N305">
        <v>0</v>
      </c>
      <c r="S305" t="s">
        <v>2503</v>
      </c>
      <c r="V305">
        <v>0</v>
      </c>
    </row>
    <row r="306" spans="3:25" x14ac:dyDescent="0.4">
      <c r="C306" t="s">
        <v>4</v>
      </c>
      <c r="D306" t="s">
        <v>612</v>
      </c>
      <c r="E306" t="s">
        <v>1181</v>
      </c>
      <c r="G306" t="s">
        <v>963</v>
      </c>
      <c r="H306" t="s">
        <v>37</v>
      </c>
      <c r="J306">
        <v>0</v>
      </c>
      <c r="K306">
        <v>0</v>
      </c>
      <c r="L306">
        <v>0</v>
      </c>
      <c r="M306">
        <v>0</v>
      </c>
      <c r="N306">
        <v>0</v>
      </c>
      <c r="S306" t="s">
        <v>2503</v>
      </c>
      <c r="V306" t="s">
        <v>2549</v>
      </c>
    </row>
    <row r="307" spans="3:25" x14ac:dyDescent="0.4">
      <c r="C307" t="s">
        <v>3</v>
      </c>
      <c r="D307" t="s">
        <v>613</v>
      </c>
      <c r="E307" t="s">
        <v>1182</v>
      </c>
      <c r="G307" t="s">
        <v>963</v>
      </c>
      <c r="H307" t="s">
        <v>37</v>
      </c>
      <c r="J307">
        <v>0</v>
      </c>
      <c r="K307">
        <v>0</v>
      </c>
      <c r="L307">
        <v>0</v>
      </c>
      <c r="M307">
        <v>0</v>
      </c>
      <c r="N307">
        <v>0</v>
      </c>
      <c r="S307" t="s">
        <v>2503</v>
      </c>
      <c r="V307">
        <v>0</v>
      </c>
    </row>
    <row r="308" spans="3:25" x14ac:dyDescent="0.4">
      <c r="C308" t="s">
        <v>4</v>
      </c>
      <c r="D308" t="s">
        <v>614</v>
      </c>
      <c r="E308" t="s">
        <v>1183</v>
      </c>
      <c r="G308" t="s">
        <v>963</v>
      </c>
      <c r="H308" t="s">
        <v>37</v>
      </c>
      <c r="J308">
        <v>0</v>
      </c>
      <c r="K308">
        <v>0</v>
      </c>
      <c r="L308">
        <v>0</v>
      </c>
      <c r="M308">
        <v>0</v>
      </c>
      <c r="N308">
        <v>0</v>
      </c>
      <c r="S308" t="s">
        <v>2503</v>
      </c>
      <c r="V308">
        <v>0</v>
      </c>
    </row>
    <row r="309" spans="3:25" x14ac:dyDescent="0.4">
      <c r="C309" t="s">
        <v>4</v>
      </c>
      <c r="D309" t="s">
        <v>615</v>
      </c>
      <c r="E309" t="s">
        <v>1184</v>
      </c>
      <c r="G309" t="s">
        <v>966</v>
      </c>
      <c r="H309" t="s">
        <v>38</v>
      </c>
      <c r="I309" t="s">
        <v>1643</v>
      </c>
      <c r="J309" t="s">
        <v>1977</v>
      </c>
      <c r="K309" t="s">
        <v>2202</v>
      </c>
      <c r="L309" t="s">
        <v>2203</v>
      </c>
      <c r="M309" t="s">
        <v>2204</v>
      </c>
      <c r="N309" t="s">
        <v>2205</v>
      </c>
      <c r="S309" t="s">
        <v>2503</v>
      </c>
      <c r="V309">
        <v>0</v>
      </c>
    </row>
    <row r="310" spans="3:25" x14ac:dyDescent="0.4">
      <c r="C310" t="s">
        <v>3</v>
      </c>
      <c r="D310" t="s">
        <v>616</v>
      </c>
      <c r="E310" t="s">
        <v>1185</v>
      </c>
      <c r="G310" t="s">
        <v>1609</v>
      </c>
      <c r="H310" t="s">
        <v>37</v>
      </c>
      <c r="J310">
        <v>0</v>
      </c>
      <c r="K310" t="s">
        <v>2206</v>
      </c>
      <c r="L310">
        <v>0</v>
      </c>
      <c r="M310">
        <v>966555867225</v>
      </c>
      <c r="N310" t="s">
        <v>2207</v>
      </c>
      <c r="S310" t="s">
        <v>2503</v>
      </c>
      <c r="V310">
        <v>0</v>
      </c>
    </row>
    <row r="311" spans="3:25" x14ac:dyDescent="0.4">
      <c r="C311" t="s">
        <v>3</v>
      </c>
      <c r="D311" t="s">
        <v>617</v>
      </c>
      <c r="E311" t="s">
        <v>1186</v>
      </c>
      <c r="G311" t="s">
        <v>963</v>
      </c>
      <c r="H311" t="s">
        <v>37</v>
      </c>
      <c r="J311">
        <v>0</v>
      </c>
      <c r="K311" t="s">
        <v>2208</v>
      </c>
      <c r="L311">
        <v>0</v>
      </c>
      <c r="M311">
        <v>966596466978</v>
      </c>
      <c r="N311">
        <v>0</v>
      </c>
      <c r="S311" t="s">
        <v>2503</v>
      </c>
      <c r="V311">
        <v>0</v>
      </c>
    </row>
    <row r="312" spans="3:25" x14ac:dyDescent="0.4">
      <c r="C312" t="s">
        <v>5</v>
      </c>
      <c r="D312" t="s">
        <v>618</v>
      </c>
      <c r="E312" t="s">
        <v>1187</v>
      </c>
      <c r="G312" t="s">
        <v>1644</v>
      </c>
      <c r="H312" t="s">
        <v>48</v>
      </c>
      <c r="I312" t="s">
        <v>1645</v>
      </c>
      <c r="J312" t="s">
        <v>1978</v>
      </c>
      <c r="K312" t="s">
        <v>2209</v>
      </c>
      <c r="L312" t="s">
        <v>2210</v>
      </c>
      <c r="M312" t="s">
        <v>2211</v>
      </c>
      <c r="N312" t="s">
        <v>2212</v>
      </c>
      <c r="S312" t="s">
        <v>2503</v>
      </c>
      <c r="V312">
        <v>0</v>
      </c>
    </row>
    <row r="313" spans="3:25" x14ac:dyDescent="0.4">
      <c r="C313" t="s">
        <v>3</v>
      </c>
      <c r="D313" t="s">
        <v>619</v>
      </c>
      <c r="E313" t="s">
        <v>1188</v>
      </c>
      <c r="G313" t="s">
        <v>1528</v>
      </c>
      <c r="H313" t="s">
        <v>37</v>
      </c>
      <c r="J313">
        <v>0</v>
      </c>
      <c r="K313" t="s">
        <v>2213</v>
      </c>
      <c r="L313">
        <v>0</v>
      </c>
      <c r="M313">
        <v>966583888777</v>
      </c>
      <c r="N313" t="s">
        <v>2214</v>
      </c>
      <c r="S313" t="s">
        <v>2503</v>
      </c>
      <c r="V313">
        <v>0</v>
      </c>
    </row>
    <row r="314" spans="3:25" x14ac:dyDescent="0.4">
      <c r="C314" t="s">
        <v>3</v>
      </c>
      <c r="D314" t="s">
        <v>620</v>
      </c>
      <c r="E314" t="s">
        <v>1189</v>
      </c>
      <c r="G314" t="s">
        <v>940</v>
      </c>
      <c r="H314" t="s">
        <v>40</v>
      </c>
      <c r="J314">
        <v>0</v>
      </c>
      <c r="K314">
        <v>0</v>
      </c>
      <c r="L314">
        <v>0</v>
      </c>
      <c r="M314">
        <v>0</v>
      </c>
      <c r="N314">
        <v>0</v>
      </c>
      <c r="S314" t="s">
        <v>2503</v>
      </c>
      <c r="V314">
        <v>0</v>
      </c>
    </row>
    <row r="315" spans="3:25" x14ac:dyDescent="0.4">
      <c r="C315" t="s">
        <v>4</v>
      </c>
      <c r="D315" t="s">
        <v>621</v>
      </c>
      <c r="E315" t="s">
        <v>1190</v>
      </c>
      <c r="G315" t="s">
        <v>1646</v>
      </c>
      <c r="H315" t="s">
        <v>37</v>
      </c>
      <c r="I315" t="s">
        <v>1647</v>
      </c>
      <c r="J315" t="s">
        <v>1979</v>
      </c>
      <c r="K315" t="s">
        <v>2215</v>
      </c>
      <c r="L315" t="s">
        <v>2216</v>
      </c>
      <c r="M315" t="s">
        <v>2217</v>
      </c>
      <c r="N315" t="s">
        <v>2218</v>
      </c>
      <c r="S315" t="s">
        <v>2505</v>
      </c>
      <c r="V315">
        <v>0</v>
      </c>
      <c r="W315" t="s">
        <v>2597</v>
      </c>
      <c r="X315" s="4">
        <v>500000</v>
      </c>
      <c r="Y315" t="s">
        <v>29</v>
      </c>
    </row>
    <row r="316" spans="3:25" x14ac:dyDescent="0.4">
      <c r="C316" t="s">
        <v>3</v>
      </c>
      <c r="D316" t="s">
        <v>391</v>
      </c>
      <c r="E316" t="s">
        <v>963</v>
      </c>
      <c r="G316" t="s">
        <v>37</v>
      </c>
      <c r="H316" t="s">
        <v>37</v>
      </c>
      <c r="J316">
        <v>0</v>
      </c>
      <c r="K316">
        <v>0</v>
      </c>
      <c r="L316">
        <v>0</v>
      </c>
      <c r="M316">
        <v>0</v>
      </c>
      <c r="N316">
        <v>0</v>
      </c>
      <c r="S316" t="s">
        <v>2503</v>
      </c>
      <c r="V316">
        <v>0</v>
      </c>
    </row>
    <row r="317" spans="3:25" x14ac:dyDescent="0.4">
      <c r="C317" t="s">
        <v>3</v>
      </c>
      <c r="D317" t="s">
        <v>622</v>
      </c>
      <c r="E317" t="s">
        <v>1191</v>
      </c>
      <c r="G317" t="s">
        <v>940</v>
      </c>
      <c r="H317" t="s">
        <v>40</v>
      </c>
      <c r="J317">
        <v>0</v>
      </c>
      <c r="K317">
        <v>0</v>
      </c>
      <c r="L317">
        <v>0</v>
      </c>
      <c r="M317">
        <v>0</v>
      </c>
      <c r="N317">
        <v>0</v>
      </c>
      <c r="S317" t="s">
        <v>2503</v>
      </c>
      <c r="V317">
        <v>0</v>
      </c>
    </row>
    <row r="318" spans="3:25" x14ac:dyDescent="0.4">
      <c r="C318" t="s">
        <v>3</v>
      </c>
      <c r="D318" t="s">
        <v>623</v>
      </c>
      <c r="E318" t="s">
        <v>1192</v>
      </c>
      <c r="G318" t="s">
        <v>1237</v>
      </c>
      <c r="H318" t="s">
        <v>37</v>
      </c>
      <c r="J318">
        <v>0</v>
      </c>
      <c r="K318">
        <v>0</v>
      </c>
      <c r="L318">
        <v>0</v>
      </c>
      <c r="M318">
        <v>0</v>
      </c>
      <c r="N318">
        <v>0</v>
      </c>
      <c r="S318" t="s">
        <v>2503</v>
      </c>
      <c r="V318">
        <v>0</v>
      </c>
    </row>
    <row r="319" spans="3:25" x14ac:dyDescent="0.4">
      <c r="C319" t="s">
        <v>3</v>
      </c>
      <c r="D319" t="s">
        <v>624</v>
      </c>
      <c r="E319" t="s">
        <v>1193</v>
      </c>
      <c r="G319" t="s">
        <v>963</v>
      </c>
      <c r="H319" t="s">
        <v>37</v>
      </c>
      <c r="J319">
        <v>0</v>
      </c>
      <c r="K319" t="s">
        <v>2219</v>
      </c>
      <c r="L319">
        <v>0</v>
      </c>
      <c r="M319">
        <v>966543999916</v>
      </c>
      <c r="N319" t="s">
        <v>2220</v>
      </c>
      <c r="S319" t="s">
        <v>2503</v>
      </c>
      <c r="V319">
        <v>0</v>
      </c>
    </row>
    <row r="320" spans="3:25" x14ac:dyDescent="0.4">
      <c r="C320" t="s">
        <v>3</v>
      </c>
      <c r="D320" t="s">
        <v>625</v>
      </c>
      <c r="E320" t="s">
        <v>1194</v>
      </c>
      <c r="G320" t="s">
        <v>1417</v>
      </c>
      <c r="H320" t="s">
        <v>35</v>
      </c>
      <c r="J320">
        <v>0</v>
      </c>
      <c r="K320">
        <v>0</v>
      </c>
      <c r="L320">
        <v>0</v>
      </c>
      <c r="M320">
        <v>0</v>
      </c>
      <c r="N320">
        <v>0</v>
      </c>
      <c r="S320" t="s">
        <v>2503</v>
      </c>
      <c r="V320">
        <v>0</v>
      </c>
    </row>
    <row r="321" spans="3:25" x14ac:dyDescent="0.4">
      <c r="C321" t="s">
        <v>3</v>
      </c>
      <c r="D321" t="s">
        <v>626</v>
      </c>
      <c r="E321" t="s">
        <v>1195</v>
      </c>
      <c r="G321" t="s">
        <v>1417</v>
      </c>
      <c r="H321" t="s">
        <v>35</v>
      </c>
      <c r="I321" t="s">
        <v>1648</v>
      </c>
      <c r="J321">
        <v>0</v>
      </c>
      <c r="K321" t="s">
        <v>2221</v>
      </c>
      <c r="L321">
        <v>0</v>
      </c>
      <c r="M321" t="s">
        <v>2222</v>
      </c>
      <c r="N321" t="s">
        <v>2223</v>
      </c>
      <c r="S321" t="s">
        <v>2503</v>
      </c>
      <c r="V321">
        <v>0</v>
      </c>
    </row>
    <row r="322" spans="3:25" x14ac:dyDescent="0.4">
      <c r="C322" t="s">
        <v>4</v>
      </c>
      <c r="D322" t="s">
        <v>627</v>
      </c>
      <c r="E322" t="s">
        <v>1196</v>
      </c>
      <c r="G322" t="s">
        <v>1417</v>
      </c>
      <c r="H322" t="s">
        <v>35</v>
      </c>
      <c r="I322" t="s">
        <v>1649</v>
      </c>
      <c r="J322">
        <v>8004188</v>
      </c>
      <c r="K322" t="s">
        <v>2224</v>
      </c>
      <c r="L322" t="s">
        <v>2225</v>
      </c>
      <c r="M322" t="s">
        <v>2226</v>
      </c>
      <c r="N322" t="s">
        <v>2227</v>
      </c>
      <c r="S322" t="s">
        <v>2505</v>
      </c>
      <c r="V322" t="s">
        <v>2550</v>
      </c>
      <c r="W322" t="s">
        <v>2597</v>
      </c>
      <c r="X322" s="4">
        <v>350000</v>
      </c>
      <c r="Y322" t="s">
        <v>2595</v>
      </c>
    </row>
    <row r="323" spans="3:25" x14ac:dyDescent="0.4">
      <c r="C323" t="s">
        <v>4</v>
      </c>
      <c r="D323" t="s">
        <v>628</v>
      </c>
      <c r="E323" t="s">
        <v>1197</v>
      </c>
      <c r="G323" t="s">
        <v>963</v>
      </c>
      <c r="H323" t="s">
        <v>37</v>
      </c>
      <c r="L323" t="s">
        <v>2228</v>
      </c>
      <c r="N323" t="s">
        <v>2229</v>
      </c>
      <c r="S323" t="s">
        <v>2503</v>
      </c>
    </row>
    <row r="324" spans="3:25" x14ac:dyDescent="0.4">
      <c r="C324" t="s">
        <v>4</v>
      </c>
      <c r="D324" t="s">
        <v>629</v>
      </c>
      <c r="E324" t="s">
        <v>1198</v>
      </c>
      <c r="G324" t="s">
        <v>963</v>
      </c>
      <c r="H324" t="s">
        <v>37</v>
      </c>
      <c r="I324" t="s">
        <v>1650</v>
      </c>
      <c r="J324" t="s">
        <v>1980</v>
      </c>
      <c r="K324" t="s">
        <v>2230</v>
      </c>
      <c r="L324" t="s">
        <v>2231</v>
      </c>
      <c r="M324" t="s">
        <v>2232</v>
      </c>
      <c r="N324" t="s">
        <v>2233</v>
      </c>
      <c r="S324" t="s">
        <v>2505</v>
      </c>
      <c r="V324">
        <v>0</v>
      </c>
      <c r="W324" t="s">
        <v>2597</v>
      </c>
      <c r="X324" s="4">
        <v>500000</v>
      </c>
      <c r="Y324" t="s">
        <v>29</v>
      </c>
    </row>
    <row r="325" spans="3:25" x14ac:dyDescent="0.4">
      <c r="C325" t="s">
        <v>4</v>
      </c>
      <c r="D325" t="s">
        <v>630</v>
      </c>
      <c r="E325" t="s">
        <v>1199</v>
      </c>
      <c r="G325" t="s">
        <v>1651</v>
      </c>
      <c r="H325" t="s">
        <v>37</v>
      </c>
      <c r="I325" t="s">
        <v>1652</v>
      </c>
      <c r="J325">
        <v>966126064970</v>
      </c>
      <c r="K325" t="s">
        <v>2234</v>
      </c>
      <c r="L325">
        <v>0</v>
      </c>
      <c r="M325" t="s">
        <v>2235</v>
      </c>
      <c r="N325" t="s">
        <v>2236</v>
      </c>
      <c r="S325" t="s">
        <v>2503</v>
      </c>
      <c r="U325" s="91">
        <v>46007</v>
      </c>
      <c r="V325" t="s">
        <v>2551</v>
      </c>
      <c r="W325" t="s">
        <v>2597</v>
      </c>
      <c r="X325" s="4">
        <v>0</v>
      </c>
      <c r="Y325" t="s">
        <v>29</v>
      </c>
    </row>
    <row r="326" spans="3:25" x14ac:dyDescent="0.4">
      <c r="C326" t="s">
        <v>3</v>
      </c>
      <c r="D326" t="s">
        <v>631</v>
      </c>
      <c r="E326" t="s">
        <v>1200</v>
      </c>
      <c r="G326" t="s">
        <v>1154</v>
      </c>
      <c r="H326" t="s">
        <v>37</v>
      </c>
      <c r="I326" t="s">
        <v>1653</v>
      </c>
      <c r="J326">
        <v>0</v>
      </c>
      <c r="K326">
        <v>0</v>
      </c>
      <c r="L326">
        <v>0</v>
      </c>
      <c r="M326">
        <v>0</v>
      </c>
      <c r="N326">
        <v>0</v>
      </c>
      <c r="S326" t="s">
        <v>2503</v>
      </c>
      <c r="V326">
        <v>0</v>
      </c>
    </row>
    <row r="327" spans="3:25" x14ac:dyDescent="0.4">
      <c r="C327" t="s">
        <v>3</v>
      </c>
      <c r="D327" t="s">
        <v>632</v>
      </c>
      <c r="E327" t="s">
        <v>1201</v>
      </c>
      <c r="G327" t="s">
        <v>1004</v>
      </c>
      <c r="H327" t="s">
        <v>43</v>
      </c>
      <c r="I327" t="s">
        <v>1654</v>
      </c>
      <c r="J327" t="s">
        <v>1981</v>
      </c>
      <c r="K327">
        <v>0</v>
      </c>
      <c r="L327">
        <v>0</v>
      </c>
      <c r="M327">
        <v>0</v>
      </c>
      <c r="N327">
        <v>0</v>
      </c>
      <c r="S327" t="s">
        <v>2503</v>
      </c>
      <c r="V327">
        <v>0</v>
      </c>
    </row>
    <row r="328" spans="3:25" x14ac:dyDescent="0.4">
      <c r="C328" t="s">
        <v>4</v>
      </c>
      <c r="D328" t="s">
        <v>633</v>
      </c>
      <c r="E328" t="s">
        <v>1202</v>
      </c>
      <c r="G328" t="s">
        <v>963</v>
      </c>
      <c r="H328" t="s">
        <v>37</v>
      </c>
      <c r="J328">
        <v>0</v>
      </c>
      <c r="K328">
        <v>0</v>
      </c>
      <c r="L328">
        <v>0</v>
      </c>
      <c r="M328">
        <v>0</v>
      </c>
      <c r="N328">
        <v>0</v>
      </c>
      <c r="S328" t="s">
        <v>2505</v>
      </c>
      <c r="V328">
        <v>0</v>
      </c>
      <c r="W328" t="s">
        <v>2597</v>
      </c>
      <c r="Y328" t="s">
        <v>29</v>
      </c>
    </row>
    <row r="329" spans="3:25" x14ac:dyDescent="0.4">
      <c r="C329" t="s">
        <v>4</v>
      </c>
      <c r="D329" t="s">
        <v>634</v>
      </c>
      <c r="E329" t="s">
        <v>1203</v>
      </c>
      <c r="G329" t="s">
        <v>1004</v>
      </c>
      <c r="H329" t="s">
        <v>43</v>
      </c>
      <c r="I329" t="s">
        <v>1655</v>
      </c>
      <c r="J329">
        <v>96824609400</v>
      </c>
      <c r="K329">
        <v>0</v>
      </c>
      <c r="L329">
        <v>0</v>
      </c>
      <c r="M329">
        <v>0</v>
      </c>
      <c r="N329" t="s">
        <v>2237</v>
      </c>
      <c r="S329" t="s">
        <v>2504</v>
      </c>
      <c r="V329" t="s">
        <v>2552</v>
      </c>
    </row>
    <row r="330" spans="3:25" x14ac:dyDescent="0.4">
      <c r="C330" t="s">
        <v>3</v>
      </c>
      <c r="D330" t="s">
        <v>635</v>
      </c>
      <c r="E330" t="s">
        <v>1204</v>
      </c>
      <c r="G330" t="s">
        <v>963</v>
      </c>
      <c r="H330" t="s">
        <v>37</v>
      </c>
      <c r="S330" t="s">
        <v>2503</v>
      </c>
      <c r="V330">
        <v>0</v>
      </c>
    </row>
    <row r="331" spans="3:25" x14ac:dyDescent="0.4">
      <c r="C331" t="s">
        <v>4</v>
      </c>
      <c r="D331" t="s">
        <v>636</v>
      </c>
      <c r="E331" t="s">
        <v>1205</v>
      </c>
      <c r="G331" t="s">
        <v>1488</v>
      </c>
      <c r="H331" t="s">
        <v>42</v>
      </c>
      <c r="J331" t="s">
        <v>1982</v>
      </c>
      <c r="K331">
        <v>0</v>
      </c>
      <c r="L331">
        <v>0</v>
      </c>
      <c r="M331">
        <v>0</v>
      </c>
      <c r="N331">
        <v>0</v>
      </c>
      <c r="S331" t="s">
        <v>2503</v>
      </c>
      <c r="V331">
        <v>0</v>
      </c>
    </row>
    <row r="332" spans="3:25" x14ac:dyDescent="0.4">
      <c r="C332" t="s">
        <v>4</v>
      </c>
      <c r="D332" t="s">
        <v>637</v>
      </c>
      <c r="E332" t="s">
        <v>1206</v>
      </c>
      <c r="G332" t="s">
        <v>1423</v>
      </c>
      <c r="H332" t="s">
        <v>35</v>
      </c>
      <c r="I332" t="s">
        <v>1656</v>
      </c>
      <c r="J332">
        <v>0</v>
      </c>
      <c r="K332">
        <v>0</v>
      </c>
      <c r="L332">
        <v>0</v>
      </c>
      <c r="M332">
        <v>0</v>
      </c>
      <c r="N332">
        <v>0</v>
      </c>
      <c r="S332" t="s">
        <v>2506</v>
      </c>
      <c r="V332" t="s">
        <v>2553</v>
      </c>
      <c r="W332" t="s">
        <v>2598</v>
      </c>
      <c r="X332" s="4">
        <v>150000</v>
      </c>
      <c r="Y332" t="s">
        <v>2595</v>
      </c>
    </row>
    <row r="333" spans="3:25" x14ac:dyDescent="0.4">
      <c r="C333" t="s">
        <v>3</v>
      </c>
      <c r="D333" t="s">
        <v>638</v>
      </c>
      <c r="E333" t="s">
        <v>1207</v>
      </c>
      <c r="G333" t="s">
        <v>963</v>
      </c>
      <c r="H333" t="s">
        <v>37</v>
      </c>
      <c r="I333" t="s">
        <v>1657</v>
      </c>
      <c r="J333" t="s">
        <v>1983</v>
      </c>
      <c r="K333" t="s">
        <v>2238</v>
      </c>
      <c r="L333">
        <v>0</v>
      </c>
      <c r="M333" t="s">
        <v>2239</v>
      </c>
      <c r="N333" t="s">
        <v>2240</v>
      </c>
      <c r="S333" t="s">
        <v>2503</v>
      </c>
      <c r="V333">
        <v>0</v>
      </c>
    </row>
    <row r="334" spans="3:25" x14ac:dyDescent="0.4">
      <c r="C334" t="s">
        <v>4</v>
      </c>
      <c r="D334" t="s">
        <v>639</v>
      </c>
      <c r="E334" t="s">
        <v>1208</v>
      </c>
      <c r="G334" t="s">
        <v>963</v>
      </c>
      <c r="H334" t="s">
        <v>37</v>
      </c>
      <c r="I334" t="s">
        <v>1658</v>
      </c>
      <c r="J334">
        <v>0</v>
      </c>
      <c r="K334">
        <v>0</v>
      </c>
      <c r="L334">
        <v>0</v>
      </c>
      <c r="M334">
        <v>0</v>
      </c>
      <c r="N334">
        <v>0</v>
      </c>
      <c r="S334" t="s">
        <v>2508</v>
      </c>
      <c r="V334" t="s">
        <v>2554</v>
      </c>
      <c r="W334" t="s">
        <v>2598</v>
      </c>
      <c r="X334" s="4">
        <v>100000</v>
      </c>
      <c r="Y334" t="s">
        <v>29</v>
      </c>
    </row>
    <row r="335" spans="3:25" x14ac:dyDescent="0.4">
      <c r="C335" t="s">
        <v>4</v>
      </c>
      <c r="D335" t="s">
        <v>640</v>
      </c>
      <c r="E335" t="s">
        <v>1209</v>
      </c>
      <c r="G335" t="s">
        <v>963</v>
      </c>
      <c r="H335" t="s">
        <v>37</v>
      </c>
      <c r="I335" t="s">
        <v>1659</v>
      </c>
      <c r="J335" t="s">
        <v>1984</v>
      </c>
      <c r="K335">
        <v>0</v>
      </c>
      <c r="L335">
        <v>0</v>
      </c>
      <c r="M335">
        <v>0</v>
      </c>
      <c r="N335">
        <v>0</v>
      </c>
      <c r="S335" t="s">
        <v>2503</v>
      </c>
      <c r="V335">
        <v>0</v>
      </c>
    </row>
    <row r="336" spans="3:25" x14ac:dyDescent="0.4">
      <c r="C336" t="s">
        <v>4</v>
      </c>
      <c r="D336" t="s">
        <v>641</v>
      </c>
      <c r="E336" t="s">
        <v>1210</v>
      </c>
      <c r="G336" t="s">
        <v>1489</v>
      </c>
      <c r="H336" t="s">
        <v>37</v>
      </c>
      <c r="I336" t="s">
        <v>1660</v>
      </c>
      <c r="J336">
        <v>0</v>
      </c>
      <c r="K336">
        <v>0</v>
      </c>
      <c r="L336">
        <v>0</v>
      </c>
      <c r="M336">
        <v>0</v>
      </c>
      <c r="N336">
        <v>0</v>
      </c>
      <c r="S336" t="s">
        <v>2503</v>
      </c>
      <c r="V336">
        <v>0</v>
      </c>
      <c r="W336" t="s">
        <v>2597</v>
      </c>
      <c r="X336" s="4">
        <v>0</v>
      </c>
      <c r="Y336" t="s">
        <v>29</v>
      </c>
    </row>
    <row r="337" spans="3:25" x14ac:dyDescent="0.4">
      <c r="C337" t="s">
        <v>4</v>
      </c>
      <c r="D337" t="s">
        <v>642</v>
      </c>
      <c r="E337" t="s">
        <v>1211</v>
      </c>
      <c r="G337" t="s">
        <v>963</v>
      </c>
      <c r="H337" t="s">
        <v>37</v>
      </c>
      <c r="I337" t="s">
        <v>1661</v>
      </c>
      <c r="J337">
        <v>0</v>
      </c>
      <c r="K337">
        <v>0</v>
      </c>
      <c r="L337">
        <v>0</v>
      </c>
      <c r="M337" t="s">
        <v>2241</v>
      </c>
      <c r="N337">
        <v>0</v>
      </c>
      <c r="S337" t="s">
        <v>2503</v>
      </c>
      <c r="V337">
        <v>0</v>
      </c>
    </row>
    <row r="338" spans="3:25" x14ac:dyDescent="0.4">
      <c r="C338" t="s">
        <v>3</v>
      </c>
      <c r="D338" t="s">
        <v>643</v>
      </c>
      <c r="E338" t="s">
        <v>1212</v>
      </c>
      <c r="G338" t="s">
        <v>963</v>
      </c>
      <c r="H338" t="s">
        <v>37</v>
      </c>
      <c r="J338">
        <v>0</v>
      </c>
      <c r="K338">
        <v>0</v>
      </c>
      <c r="L338">
        <v>0</v>
      </c>
      <c r="M338">
        <v>0</v>
      </c>
      <c r="N338">
        <v>0</v>
      </c>
      <c r="S338" t="s">
        <v>2503</v>
      </c>
      <c r="V338">
        <v>0</v>
      </c>
    </row>
    <row r="339" spans="3:25" x14ac:dyDescent="0.4">
      <c r="C339" t="s">
        <v>4</v>
      </c>
      <c r="D339" t="s">
        <v>644</v>
      </c>
      <c r="E339" t="s">
        <v>1213</v>
      </c>
      <c r="G339" t="s">
        <v>1489</v>
      </c>
      <c r="H339" t="s">
        <v>37</v>
      </c>
      <c r="J339">
        <v>0</v>
      </c>
      <c r="K339">
        <v>0</v>
      </c>
      <c r="L339">
        <v>0</v>
      </c>
      <c r="M339">
        <v>0</v>
      </c>
      <c r="N339">
        <v>0</v>
      </c>
      <c r="S339" t="s">
        <v>2503</v>
      </c>
      <c r="V339">
        <v>0</v>
      </c>
    </row>
    <row r="340" spans="3:25" x14ac:dyDescent="0.4">
      <c r="C340" t="s">
        <v>3</v>
      </c>
      <c r="D340" t="s">
        <v>645</v>
      </c>
      <c r="E340" t="s">
        <v>1214</v>
      </c>
      <c r="G340" t="s">
        <v>1485</v>
      </c>
      <c r="H340" t="s">
        <v>36</v>
      </c>
      <c r="I340" t="s">
        <v>1662</v>
      </c>
      <c r="J340">
        <v>0</v>
      </c>
      <c r="K340">
        <v>0</v>
      </c>
      <c r="L340">
        <v>0</v>
      </c>
      <c r="M340">
        <v>0</v>
      </c>
      <c r="N340">
        <v>0</v>
      </c>
      <c r="S340" t="s">
        <v>2503</v>
      </c>
      <c r="V340">
        <v>0</v>
      </c>
    </row>
    <row r="341" spans="3:25" x14ac:dyDescent="0.4">
      <c r="C341" t="s">
        <v>3</v>
      </c>
      <c r="D341" t="s">
        <v>646</v>
      </c>
      <c r="E341" t="s">
        <v>1215</v>
      </c>
      <c r="G341" t="s">
        <v>1930</v>
      </c>
      <c r="H341" t="s">
        <v>40</v>
      </c>
      <c r="I341" t="s">
        <v>1663</v>
      </c>
      <c r="J341" t="s">
        <v>1985</v>
      </c>
      <c r="K341">
        <v>0</v>
      </c>
      <c r="L341">
        <v>0</v>
      </c>
      <c r="M341">
        <v>0</v>
      </c>
      <c r="N341">
        <v>0</v>
      </c>
      <c r="S341" t="s">
        <v>2503</v>
      </c>
      <c r="V341">
        <v>0</v>
      </c>
    </row>
    <row r="342" spans="3:25" x14ac:dyDescent="0.4">
      <c r="C342" t="s">
        <v>4</v>
      </c>
      <c r="D342" t="s">
        <v>647</v>
      </c>
      <c r="E342" t="s">
        <v>1216</v>
      </c>
      <c r="G342" t="s">
        <v>1485</v>
      </c>
      <c r="H342" t="s">
        <v>36</v>
      </c>
      <c r="I342" t="s">
        <v>1664</v>
      </c>
      <c r="J342">
        <v>0</v>
      </c>
      <c r="K342">
        <v>0</v>
      </c>
      <c r="L342">
        <v>0</v>
      </c>
      <c r="M342">
        <v>0</v>
      </c>
      <c r="N342">
        <v>0</v>
      </c>
      <c r="S342" t="s">
        <v>2503</v>
      </c>
      <c r="V342">
        <v>0</v>
      </c>
    </row>
    <row r="343" spans="3:25" x14ac:dyDescent="0.4">
      <c r="C343" t="s">
        <v>4</v>
      </c>
      <c r="D343" t="s">
        <v>648</v>
      </c>
      <c r="E343" t="s">
        <v>1217</v>
      </c>
      <c r="G343" t="s">
        <v>963</v>
      </c>
      <c r="H343" t="s">
        <v>37</v>
      </c>
      <c r="J343">
        <v>0</v>
      </c>
      <c r="K343">
        <v>0</v>
      </c>
      <c r="L343">
        <v>0</v>
      </c>
      <c r="M343">
        <v>0</v>
      </c>
      <c r="N343">
        <v>0</v>
      </c>
      <c r="S343" t="s">
        <v>2508</v>
      </c>
      <c r="V343" t="s">
        <v>2555</v>
      </c>
      <c r="X343" s="4">
        <v>100000</v>
      </c>
      <c r="Y343" t="s">
        <v>29</v>
      </c>
    </row>
    <row r="344" spans="3:25" x14ac:dyDescent="0.4">
      <c r="C344" t="s">
        <v>3</v>
      </c>
      <c r="D344" t="s">
        <v>649</v>
      </c>
      <c r="E344" t="s">
        <v>1218</v>
      </c>
      <c r="G344" t="s">
        <v>963</v>
      </c>
      <c r="H344" t="s">
        <v>37</v>
      </c>
      <c r="J344">
        <v>0</v>
      </c>
      <c r="K344" t="s">
        <v>2242</v>
      </c>
      <c r="L344">
        <v>0</v>
      </c>
      <c r="M344" t="s">
        <v>2243</v>
      </c>
      <c r="N344" t="s">
        <v>2244</v>
      </c>
      <c r="S344" t="s">
        <v>2503</v>
      </c>
      <c r="V344">
        <v>0</v>
      </c>
    </row>
    <row r="345" spans="3:25" x14ac:dyDescent="0.4">
      <c r="C345" t="s">
        <v>3</v>
      </c>
      <c r="D345" t="s">
        <v>650</v>
      </c>
      <c r="E345" t="s">
        <v>1219</v>
      </c>
      <c r="G345" t="s">
        <v>963</v>
      </c>
      <c r="H345" t="s">
        <v>37</v>
      </c>
      <c r="J345">
        <v>0</v>
      </c>
      <c r="K345" t="s">
        <v>2245</v>
      </c>
      <c r="L345">
        <v>0</v>
      </c>
      <c r="M345" t="s">
        <v>2246</v>
      </c>
      <c r="N345">
        <v>0</v>
      </c>
      <c r="S345" t="s">
        <v>2503</v>
      </c>
      <c r="V345">
        <v>0</v>
      </c>
    </row>
    <row r="346" spans="3:25" x14ac:dyDescent="0.4">
      <c r="C346" t="s">
        <v>4</v>
      </c>
      <c r="D346" t="s">
        <v>651</v>
      </c>
      <c r="E346" t="s">
        <v>1220</v>
      </c>
      <c r="G346" t="s">
        <v>963</v>
      </c>
      <c r="H346" t="s">
        <v>37</v>
      </c>
      <c r="J346">
        <v>0</v>
      </c>
      <c r="K346" t="s">
        <v>2247</v>
      </c>
      <c r="L346" t="s">
        <v>2248</v>
      </c>
      <c r="M346">
        <v>0</v>
      </c>
      <c r="N346">
        <v>0</v>
      </c>
      <c r="S346" t="s">
        <v>2503</v>
      </c>
      <c r="V346">
        <v>0</v>
      </c>
    </row>
    <row r="347" spans="3:25" x14ac:dyDescent="0.4">
      <c r="C347" t="s">
        <v>3</v>
      </c>
      <c r="D347" t="s">
        <v>652</v>
      </c>
      <c r="E347" t="s">
        <v>1221</v>
      </c>
      <c r="G347" t="s">
        <v>1524</v>
      </c>
      <c r="H347" t="s">
        <v>35</v>
      </c>
      <c r="I347" t="s">
        <v>1665</v>
      </c>
      <c r="J347" t="s">
        <v>1986</v>
      </c>
      <c r="K347" t="s">
        <v>2249</v>
      </c>
      <c r="L347">
        <v>0</v>
      </c>
      <c r="M347">
        <v>0</v>
      </c>
      <c r="N347">
        <v>0</v>
      </c>
      <c r="S347" t="s">
        <v>2503</v>
      </c>
      <c r="V347">
        <v>0</v>
      </c>
    </row>
    <row r="348" spans="3:25" x14ac:dyDescent="0.4">
      <c r="C348" t="s">
        <v>3</v>
      </c>
      <c r="D348" t="s">
        <v>653</v>
      </c>
      <c r="E348" t="s">
        <v>1222</v>
      </c>
      <c r="G348" t="s">
        <v>1487</v>
      </c>
      <c r="H348" t="s">
        <v>41</v>
      </c>
      <c r="I348" t="s">
        <v>1666</v>
      </c>
      <c r="J348">
        <v>0</v>
      </c>
      <c r="K348">
        <v>0</v>
      </c>
      <c r="L348">
        <v>0</v>
      </c>
      <c r="M348">
        <v>0</v>
      </c>
      <c r="N348">
        <v>0</v>
      </c>
      <c r="S348" t="s">
        <v>2503</v>
      </c>
      <c r="V348">
        <v>0</v>
      </c>
    </row>
    <row r="349" spans="3:25" x14ac:dyDescent="0.4">
      <c r="C349" t="s">
        <v>4</v>
      </c>
      <c r="D349" t="s">
        <v>654</v>
      </c>
      <c r="E349" t="s">
        <v>1223</v>
      </c>
      <c r="G349" t="s">
        <v>1423</v>
      </c>
      <c r="H349" t="s">
        <v>35</v>
      </c>
      <c r="I349" t="s">
        <v>1667</v>
      </c>
      <c r="J349" t="s">
        <v>1987</v>
      </c>
      <c r="K349" t="s">
        <v>2250</v>
      </c>
      <c r="L349" t="s">
        <v>2251</v>
      </c>
      <c r="M349" t="s">
        <v>2252</v>
      </c>
      <c r="N349" t="s">
        <v>2253</v>
      </c>
      <c r="S349" t="s">
        <v>2508</v>
      </c>
      <c r="V349" t="s">
        <v>2556</v>
      </c>
      <c r="W349" t="s">
        <v>2598</v>
      </c>
      <c r="X349" s="4">
        <v>75000</v>
      </c>
      <c r="Y349" t="s">
        <v>2595</v>
      </c>
    </row>
    <row r="350" spans="3:25" x14ac:dyDescent="0.4">
      <c r="C350" t="s">
        <v>4</v>
      </c>
      <c r="D350" t="s">
        <v>655</v>
      </c>
      <c r="E350" t="s">
        <v>1224</v>
      </c>
      <c r="G350" t="s">
        <v>940</v>
      </c>
      <c r="H350" t="s">
        <v>40</v>
      </c>
      <c r="I350" t="s">
        <v>1668</v>
      </c>
      <c r="J350" t="s">
        <v>1988</v>
      </c>
      <c r="K350" t="s">
        <v>2254</v>
      </c>
      <c r="L350" t="s">
        <v>2255</v>
      </c>
      <c r="M350" t="s">
        <v>2256</v>
      </c>
      <c r="N350" t="s">
        <v>2257</v>
      </c>
      <c r="S350" t="s">
        <v>2505</v>
      </c>
      <c r="V350">
        <v>0</v>
      </c>
    </row>
    <row r="351" spans="3:25" x14ac:dyDescent="0.4">
      <c r="C351" t="s">
        <v>3</v>
      </c>
      <c r="D351" t="s">
        <v>656</v>
      </c>
      <c r="E351" t="s">
        <v>1225</v>
      </c>
      <c r="G351" t="s">
        <v>1931</v>
      </c>
      <c r="H351" t="s">
        <v>47</v>
      </c>
      <c r="I351" t="s">
        <v>1669</v>
      </c>
      <c r="J351" t="s">
        <v>1989</v>
      </c>
      <c r="K351">
        <v>0</v>
      </c>
      <c r="L351">
        <v>0</v>
      </c>
      <c r="M351">
        <v>0</v>
      </c>
      <c r="N351">
        <v>0</v>
      </c>
      <c r="S351" t="s">
        <v>2503</v>
      </c>
      <c r="V351">
        <v>0</v>
      </c>
    </row>
    <row r="352" spans="3:25" x14ac:dyDescent="0.4">
      <c r="C352" t="s">
        <v>3</v>
      </c>
      <c r="D352" t="s">
        <v>657</v>
      </c>
      <c r="E352" t="s">
        <v>1226</v>
      </c>
      <c r="G352" t="s">
        <v>940</v>
      </c>
      <c r="H352" t="s">
        <v>40</v>
      </c>
      <c r="J352">
        <v>0</v>
      </c>
      <c r="K352" t="s">
        <v>2258</v>
      </c>
      <c r="L352" t="s">
        <v>2259</v>
      </c>
      <c r="M352" t="s">
        <v>2260</v>
      </c>
      <c r="N352" t="s">
        <v>2261</v>
      </c>
      <c r="S352" t="s">
        <v>2503</v>
      </c>
      <c r="V352">
        <v>0</v>
      </c>
    </row>
    <row r="353" spans="3:25" x14ac:dyDescent="0.4">
      <c r="C353" t="s">
        <v>3</v>
      </c>
      <c r="D353" t="s">
        <v>658</v>
      </c>
      <c r="E353" t="s">
        <v>1227</v>
      </c>
      <c r="G353" t="s">
        <v>963</v>
      </c>
      <c r="H353" t="s">
        <v>37</v>
      </c>
      <c r="I353" t="s">
        <v>1670</v>
      </c>
      <c r="J353" t="s">
        <v>1990</v>
      </c>
      <c r="K353" t="s">
        <v>2262</v>
      </c>
      <c r="L353" t="s">
        <v>2263</v>
      </c>
      <c r="M353" t="s">
        <v>2264</v>
      </c>
      <c r="N353" t="s">
        <v>2265</v>
      </c>
      <c r="S353" t="s">
        <v>2503</v>
      </c>
      <c r="V353">
        <v>0</v>
      </c>
    </row>
    <row r="354" spans="3:25" x14ac:dyDescent="0.4">
      <c r="C354" t="s">
        <v>3</v>
      </c>
      <c r="D354" t="s">
        <v>659</v>
      </c>
      <c r="E354" t="s">
        <v>1228</v>
      </c>
      <c r="G354" t="s">
        <v>963</v>
      </c>
      <c r="H354" t="s">
        <v>37</v>
      </c>
      <c r="I354" t="s">
        <v>1671</v>
      </c>
      <c r="J354">
        <v>0</v>
      </c>
      <c r="L354">
        <v>0</v>
      </c>
      <c r="M354">
        <v>0</v>
      </c>
      <c r="N354">
        <v>0</v>
      </c>
      <c r="S354" t="s">
        <v>2503</v>
      </c>
      <c r="V354">
        <v>0</v>
      </c>
    </row>
    <row r="355" spans="3:25" x14ac:dyDescent="0.4">
      <c r="C355" t="s">
        <v>3</v>
      </c>
      <c r="D355" t="s">
        <v>660</v>
      </c>
      <c r="E355" t="s">
        <v>1229</v>
      </c>
      <c r="G355" t="s">
        <v>963</v>
      </c>
      <c r="H355" t="s">
        <v>37</v>
      </c>
      <c r="J355">
        <v>0</v>
      </c>
      <c r="K355" t="s">
        <v>2266</v>
      </c>
      <c r="L355">
        <v>0</v>
      </c>
      <c r="M355">
        <v>966597557516</v>
      </c>
      <c r="N355" t="s">
        <v>2267</v>
      </c>
      <c r="S355" t="s">
        <v>2503</v>
      </c>
      <c r="V355" t="s">
        <v>2557</v>
      </c>
    </row>
    <row r="356" spans="3:25" x14ac:dyDescent="0.4">
      <c r="C356" t="s">
        <v>3</v>
      </c>
      <c r="D356" t="s">
        <v>661</v>
      </c>
      <c r="E356" t="s">
        <v>1230</v>
      </c>
      <c r="G356" t="s">
        <v>1423</v>
      </c>
      <c r="H356" t="s">
        <v>35</v>
      </c>
      <c r="I356" t="s">
        <v>1672</v>
      </c>
      <c r="J356">
        <v>0</v>
      </c>
      <c r="K356">
        <v>0</v>
      </c>
      <c r="L356">
        <v>0</v>
      </c>
      <c r="M356">
        <v>0</v>
      </c>
      <c r="N356">
        <v>0</v>
      </c>
      <c r="S356" t="s">
        <v>2503</v>
      </c>
      <c r="V356">
        <v>0</v>
      </c>
    </row>
    <row r="357" spans="3:25" x14ac:dyDescent="0.4">
      <c r="C357" t="s">
        <v>5</v>
      </c>
      <c r="D357" t="s">
        <v>662</v>
      </c>
      <c r="E357" t="s">
        <v>1231</v>
      </c>
      <c r="G357" t="s">
        <v>1673</v>
      </c>
      <c r="H357" t="s">
        <v>1613</v>
      </c>
      <c r="J357" t="s">
        <v>1991</v>
      </c>
      <c r="K357">
        <v>0</v>
      </c>
      <c r="L357">
        <v>0</v>
      </c>
      <c r="M357">
        <v>0</v>
      </c>
      <c r="N357">
        <v>0</v>
      </c>
      <c r="S357" t="s">
        <v>2503</v>
      </c>
      <c r="V357" t="s">
        <v>2558</v>
      </c>
    </row>
    <row r="358" spans="3:25" x14ac:dyDescent="0.4">
      <c r="C358" t="s">
        <v>5</v>
      </c>
      <c r="D358" t="s">
        <v>663</v>
      </c>
      <c r="E358" t="s">
        <v>1232</v>
      </c>
      <c r="G358" t="s">
        <v>1674</v>
      </c>
      <c r="H358" t="s">
        <v>1641</v>
      </c>
      <c r="J358">
        <v>0</v>
      </c>
      <c r="K358">
        <v>0</v>
      </c>
      <c r="L358">
        <v>0</v>
      </c>
      <c r="M358">
        <v>0</v>
      </c>
      <c r="N358">
        <v>0</v>
      </c>
      <c r="S358" t="s">
        <v>2503</v>
      </c>
      <c r="V358">
        <v>0</v>
      </c>
    </row>
    <row r="359" spans="3:25" x14ac:dyDescent="0.4">
      <c r="C359" t="s">
        <v>3</v>
      </c>
      <c r="D359" t="s">
        <v>664</v>
      </c>
      <c r="E359" t="s">
        <v>1233</v>
      </c>
      <c r="G359" t="s">
        <v>1675</v>
      </c>
      <c r="H359" t="s">
        <v>39</v>
      </c>
      <c r="J359">
        <v>0</v>
      </c>
      <c r="K359" t="s">
        <v>2268</v>
      </c>
      <c r="L359">
        <v>0</v>
      </c>
      <c r="M359">
        <v>0</v>
      </c>
      <c r="N359" t="s">
        <v>2269</v>
      </c>
      <c r="S359" t="s">
        <v>2503</v>
      </c>
      <c r="V359">
        <v>0</v>
      </c>
    </row>
    <row r="360" spans="3:25" x14ac:dyDescent="0.4">
      <c r="C360" t="s">
        <v>4</v>
      </c>
      <c r="D360" t="s">
        <v>665</v>
      </c>
      <c r="E360" t="s">
        <v>1234</v>
      </c>
      <c r="G360" t="s">
        <v>963</v>
      </c>
      <c r="H360" t="s">
        <v>37</v>
      </c>
      <c r="J360" t="s">
        <v>1992</v>
      </c>
      <c r="K360" t="s">
        <v>2270</v>
      </c>
      <c r="L360" t="s">
        <v>2271</v>
      </c>
      <c r="M360" t="s">
        <v>1992</v>
      </c>
      <c r="N360" t="s">
        <v>2272</v>
      </c>
      <c r="S360" t="s">
        <v>2503</v>
      </c>
      <c r="V360">
        <v>0</v>
      </c>
    </row>
    <row r="361" spans="3:25" x14ac:dyDescent="0.4">
      <c r="C361" t="s">
        <v>3</v>
      </c>
      <c r="D361" t="s">
        <v>666</v>
      </c>
      <c r="E361" t="s">
        <v>1235</v>
      </c>
      <c r="G361" t="s">
        <v>963</v>
      </c>
      <c r="H361" t="s">
        <v>37</v>
      </c>
      <c r="J361">
        <v>0</v>
      </c>
      <c r="K361">
        <v>0</v>
      </c>
      <c r="L361">
        <v>0</v>
      </c>
      <c r="M361">
        <v>0</v>
      </c>
      <c r="N361">
        <v>0</v>
      </c>
      <c r="S361" t="s">
        <v>2503</v>
      </c>
      <c r="V361">
        <v>0</v>
      </c>
    </row>
    <row r="362" spans="3:25" x14ac:dyDescent="0.4">
      <c r="C362" t="s">
        <v>3</v>
      </c>
      <c r="D362" t="s">
        <v>667</v>
      </c>
      <c r="E362" t="s">
        <v>1236</v>
      </c>
      <c r="G362" t="s">
        <v>963</v>
      </c>
      <c r="H362" t="s">
        <v>37</v>
      </c>
      <c r="I362" t="s">
        <v>1676</v>
      </c>
      <c r="J362">
        <v>0</v>
      </c>
      <c r="K362">
        <v>0</v>
      </c>
      <c r="L362">
        <v>0</v>
      </c>
      <c r="M362">
        <v>0</v>
      </c>
      <c r="N362">
        <v>0</v>
      </c>
      <c r="S362" t="s">
        <v>2503</v>
      </c>
      <c r="V362">
        <v>0</v>
      </c>
    </row>
    <row r="363" spans="3:25" x14ac:dyDescent="0.4">
      <c r="C363" t="s">
        <v>3</v>
      </c>
      <c r="D363" t="s">
        <v>465</v>
      </c>
      <c r="E363" t="s">
        <v>1237</v>
      </c>
      <c r="H363" t="s">
        <v>37</v>
      </c>
      <c r="I363" t="s">
        <v>1677</v>
      </c>
      <c r="K363">
        <v>0</v>
      </c>
      <c r="L363">
        <v>0</v>
      </c>
      <c r="M363">
        <v>0</v>
      </c>
      <c r="N363">
        <v>0</v>
      </c>
      <c r="S363" t="s">
        <v>2503</v>
      </c>
      <c r="V363">
        <v>0</v>
      </c>
    </row>
    <row r="364" spans="3:25" x14ac:dyDescent="0.4">
      <c r="C364" t="s">
        <v>4</v>
      </c>
      <c r="D364" t="s">
        <v>668</v>
      </c>
      <c r="E364" t="s">
        <v>1238</v>
      </c>
      <c r="G364" t="s">
        <v>963</v>
      </c>
      <c r="H364" t="s">
        <v>37</v>
      </c>
      <c r="I364" t="s">
        <v>1678</v>
      </c>
      <c r="J364">
        <v>0</v>
      </c>
      <c r="K364">
        <v>0</v>
      </c>
      <c r="L364">
        <v>0</v>
      </c>
      <c r="M364">
        <v>0</v>
      </c>
      <c r="N364">
        <v>0</v>
      </c>
      <c r="S364" t="s">
        <v>2508</v>
      </c>
      <c r="V364" t="s">
        <v>2559</v>
      </c>
      <c r="X364" s="4">
        <v>350000</v>
      </c>
    </row>
    <row r="365" spans="3:25" x14ac:dyDescent="0.4">
      <c r="C365" t="s">
        <v>4</v>
      </c>
      <c r="D365" t="s">
        <v>669</v>
      </c>
      <c r="E365" t="s">
        <v>1239</v>
      </c>
      <c r="G365" t="s">
        <v>963</v>
      </c>
      <c r="H365" t="s">
        <v>37</v>
      </c>
      <c r="J365">
        <v>0</v>
      </c>
      <c r="K365" t="s">
        <v>2273</v>
      </c>
      <c r="L365" t="s">
        <v>2274</v>
      </c>
      <c r="M365">
        <v>563097613</v>
      </c>
      <c r="N365" t="s">
        <v>2275</v>
      </c>
      <c r="S365" t="s">
        <v>2504</v>
      </c>
      <c r="U365" s="91">
        <v>46443</v>
      </c>
      <c r="V365" t="s">
        <v>2560</v>
      </c>
      <c r="W365" t="s">
        <v>2600</v>
      </c>
      <c r="X365" s="4">
        <v>100000</v>
      </c>
      <c r="Y365" t="s">
        <v>29</v>
      </c>
    </row>
    <row r="366" spans="3:25" x14ac:dyDescent="0.4">
      <c r="C366" t="s">
        <v>4</v>
      </c>
      <c r="D366" t="s">
        <v>670</v>
      </c>
      <c r="E366" t="s">
        <v>1240</v>
      </c>
      <c r="G366" t="s">
        <v>1154</v>
      </c>
      <c r="H366" t="s">
        <v>37</v>
      </c>
      <c r="I366" t="s">
        <v>1679</v>
      </c>
      <c r="J366">
        <v>0</v>
      </c>
      <c r="K366">
        <v>0</v>
      </c>
      <c r="L366">
        <v>0</v>
      </c>
      <c r="M366">
        <v>0</v>
      </c>
      <c r="N366" t="s">
        <v>2276</v>
      </c>
      <c r="S366" t="s">
        <v>2503</v>
      </c>
      <c r="V366">
        <v>0</v>
      </c>
      <c r="W366" t="s">
        <v>2599</v>
      </c>
      <c r="Y366" t="s">
        <v>29</v>
      </c>
    </row>
    <row r="367" spans="3:25" x14ac:dyDescent="0.4">
      <c r="C367" t="s">
        <v>5</v>
      </c>
      <c r="D367" t="s">
        <v>671</v>
      </c>
      <c r="E367" t="s">
        <v>1241</v>
      </c>
      <c r="G367" t="s">
        <v>1680</v>
      </c>
      <c r="H367" t="s">
        <v>1604</v>
      </c>
      <c r="J367">
        <v>0</v>
      </c>
      <c r="K367">
        <v>0</v>
      </c>
      <c r="L367">
        <v>0</v>
      </c>
      <c r="M367">
        <v>0</v>
      </c>
      <c r="N367">
        <v>0</v>
      </c>
      <c r="S367" t="s">
        <v>2503</v>
      </c>
      <c r="V367">
        <v>0</v>
      </c>
    </row>
    <row r="368" spans="3:25" x14ac:dyDescent="0.4">
      <c r="C368" t="s">
        <v>3</v>
      </c>
      <c r="D368" t="s">
        <v>672</v>
      </c>
      <c r="E368" t="s">
        <v>1242</v>
      </c>
      <c r="G368" t="s">
        <v>963</v>
      </c>
      <c r="H368" t="s">
        <v>37</v>
      </c>
      <c r="I368" t="s">
        <v>1681</v>
      </c>
      <c r="J368">
        <v>0</v>
      </c>
      <c r="K368">
        <v>0</v>
      </c>
      <c r="L368">
        <v>0</v>
      </c>
      <c r="M368">
        <v>0</v>
      </c>
      <c r="N368">
        <v>0</v>
      </c>
      <c r="S368" t="s">
        <v>2503</v>
      </c>
      <c r="V368">
        <v>0</v>
      </c>
    </row>
    <row r="369" spans="3:25" x14ac:dyDescent="0.4">
      <c r="C369" t="s">
        <v>4</v>
      </c>
      <c r="D369" t="s">
        <v>673</v>
      </c>
      <c r="E369" t="s">
        <v>1243</v>
      </c>
      <c r="G369" t="s">
        <v>1932</v>
      </c>
      <c r="H369" t="s">
        <v>39</v>
      </c>
      <c r="J369">
        <v>0</v>
      </c>
      <c r="K369">
        <v>0</v>
      </c>
      <c r="L369">
        <v>0</v>
      </c>
      <c r="M369">
        <v>0</v>
      </c>
      <c r="N369">
        <v>0</v>
      </c>
      <c r="S369" t="s">
        <v>2503</v>
      </c>
      <c r="V369">
        <v>0</v>
      </c>
    </row>
    <row r="370" spans="3:25" x14ac:dyDescent="0.4">
      <c r="C370" t="s">
        <v>3</v>
      </c>
      <c r="D370" t="s">
        <v>674</v>
      </c>
      <c r="E370" t="s">
        <v>1244</v>
      </c>
      <c r="G370" t="s">
        <v>963</v>
      </c>
      <c r="H370" t="s">
        <v>37</v>
      </c>
      <c r="I370" t="s">
        <v>1682</v>
      </c>
      <c r="J370">
        <v>0</v>
      </c>
      <c r="K370">
        <v>0</v>
      </c>
      <c r="L370">
        <v>0</v>
      </c>
      <c r="M370">
        <v>0</v>
      </c>
      <c r="N370">
        <v>0</v>
      </c>
      <c r="S370" t="s">
        <v>2503</v>
      </c>
      <c r="V370">
        <v>0</v>
      </c>
    </row>
    <row r="371" spans="3:25" x14ac:dyDescent="0.4">
      <c r="C371" t="s">
        <v>3</v>
      </c>
      <c r="D371" t="s">
        <v>675</v>
      </c>
      <c r="E371" t="s">
        <v>1245</v>
      </c>
      <c r="G371" t="s">
        <v>1683</v>
      </c>
      <c r="H371" t="s">
        <v>37</v>
      </c>
      <c r="I371" t="s">
        <v>1684</v>
      </c>
      <c r="J371">
        <v>0</v>
      </c>
      <c r="K371" t="s">
        <v>2277</v>
      </c>
      <c r="L371" t="s">
        <v>2278</v>
      </c>
      <c r="M371">
        <v>966504659080</v>
      </c>
      <c r="N371" t="s">
        <v>2279</v>
      </c>
      <c r="S371" t="s">
        <v>2503</v>
      </c>
      <c r="V371" t="s">
        <v>2561</v>
      </c>
    </row>
    <row r="372" spans="3:25" x14ac:dyDescent="0.4">
      <c r="C372" t="s">
        <v>4</v>
      </c>
      <c r="D372" t="s">
        <v>676</v>
      </c>
      <c r="E372" t="s">
        <v>1246</v>
      </c>
      <c r="G372" t="s">
        <v>963</v>
      </c>
      <c r="H372" t="s">
        <v>37</v>
      </c>
      <c r="J372">
        <v>0</v>
      </c>
      <c r="K372">
        <v>0</v>
      </c>
      <c r="L372">
        <v>0</v>
      </c>
      <c r="M372">
        <v>0</v>
      </c>
      <c r="N372">
        <v>0</v>
      </c>
      <c r="S372" t="s">
        <v>2503</v>
      </c>
      <c r="V372">
        <v>0</v>
      </c>
    </row>
    <row r="373" spans="3:25" x14ac:dyDescent="0.4">
      <c r="C373" t="s">
        <v>3</v>
      </c>
      <c r="D373" t="s">
        <v>677</v>
      </c>
      <c r="E373" t="s">
        <v>1247</v>
      </c>
      <c r="G373" t="s">
        <v>1685</v>
      </c>
      <c r="H373" t="s">
        <v>37</v>
      </c>
      <c r="J373">
        <v>0</v>
      </c>
      <c r="K373">
        <v>0</v>
      </c>
      <c r="L373">
        <v>0</v>
      </c>
      <c r="M373">
        <v>0</v>
      </c>
      <c r="N373">
        <v>0</v>
      </c>
      <c r="S373" t="s">
        <v>2503</v>
      </c>
      <c r="V373">
        <v>0</v>
      </c>
    </row>
    <row r="374" spans="3:25" x14ac:dyDescent="0.4">
      <c r="C374" t="s">
        <v>3</v>
      </c>
      <c r="D374" t="s">
        <v>678</v>
      </c>
      <c r="E374" t="s">
        <v>1248</v>
      </c>
      <c r="G374" t="s">
        <v>963</v>
      </c>
      <c r="H374" t="s">
        <v>37</v>
      </c>
      <c r="I374" t="s">
        <v>1686</v>
      </c>
      <c r="J374">
        <v>0</v>
      </c>
      <c r="K374">
        <v>0</v>
      </c>
      <c r="L374">
        <v>0</v>
      </c>
      <c r="M374">
        <v>0</v>
      </c>
      <c r="N374" t="s">
        <v>2280</v>
      </c>
      <c r="S374" t="s">
        <v>2503</v>
      </c>
      <c r="V374">
        <v>0</v>
      </c>
    </row>
    <row r="375" spans="3:25" x14ac:dyDescent="0.4">
      <c r="C375" t="s">
        <v>5</v>
      </c>
      <c r="D375" t="s">
        <v>679</v>
      </c>
      <c r="E375" t="s">
        <v>1249</v>
      </c>
      <c r="G375" t="s">
        <v>1423</v>
      </c>
      <c r="H375" t="s">
        <v>35</v>
      </c>
      <c r="J375">
        <v>0</v>
      </c>
      <c r="K375">
        <v>0</v>
      </c>
      <c r="L375">
        <v>0</v>
      </c>
      <c r="M375">
        <v>0</v>
      </c>
      <c r="N375">
        <v>0</v>
      </c>
      <c r="S375" t="s">
        <v>2503</v>
      </c>
      <c r="V375" t="s">
        <v>2562</v>
      </c>
    </row>
    <row r="376" spans="3:25" x14ac:dyDescent="0.4">
      <c r="C376" t="s">
        <v>4</v>
      </c>
      <c r="D376" t="s">
        <v>680</v>
      </c>
      <c r="E376" t="s">
        <v>1250</v>
      </c>
      <c r="G376" t="s">
        <v>963</v>
      </c>
      <c r="H376" t="s">
        <v>37</v>
      </c>
      <c r="I376" t="s">
        <v>1687</v>
      </c>
      <c r="J376" t="s">
        <v>1993</v>
      </c>
      <c r="K376">
        <v>0</v>
      </c>
      <c r="L376">
        <v>0</v>
      </c>
      <c r="M376" t="s">
        <v>1993</v>
      </c>
      <c r="N376">
        <v>0</v>
      </c>
      <c r="S376" t="s">
        <v>2503</v>
      </c>
      <c r="V376">
        <v>0</v>
      </c>
      <c r="W376" t="s">
        <v>2598</v>
      </c>
      <c r="Y376" t="s">
        <v>29</v>
      </c>
    </row>
    <row r="377" spans="3:25" x14ac:dyDescent="0.4">
      <c r="C377" t="s">
        <v>4</v>
      </c>
      <c r="D377" t="s">
        <v>681</v>
      </c>
      <c r="E377" t="s">
        <v>1251</v>
      </c>
      <c r="G377" t="s">
        <v>1688</v>
      </c>
      <c r="H377" t="s">
        <v>39</v>
      </c>
      <c r="I377" t="s">
        <v>1689</v>
      </c>
      <c r="K377" t="s">
        <v>2281</v>
      </c>
      <c r="L377" t="s">
        <v>2282</v>
      </c>
      <c r="M377" t="s">
        <v>2283</v>
      </c>
      <c r="N377" t="s">
        <v>2284</v>
      </c>
      <c r="S377" t="s">
        <v>2503</v>
      </c>
    </row>
    <row r="378" spans="3:25" x14ac:dyDescent="0.4">
      <c r="C378" t="s">
        <v>3</v>
      </c>
      <c r="D378" t="s">
        <v>682</v>
      </c>
      <c r="E378" t="s">
        <v>1252</v>
      </c>
      <c r="G378" t="s">
        <v>963</v>
      </c>
      <c r="H378" t="s">
        <v>37</v>
      </c>
      <c r="I378" t="s">
        <v>1690</v>
      </c>
      <c r="J378">
        <v>0</v>
      </c>
      <c r="K378">
        <v>0</v>
      </c>
      <c r="L378">
        <v>0</v>
      </c>
      <c r="M378">
        <v>0</v>
      </c>
      <c r="N378">
        <v>0</v>
      </c>
      <c r="S378" t="s">
        <v>2503</v>
      </c>
      <c r="V378">
        <v>0</v>
      </c>
    </row>
    <row r="379" spans="3:25" x14ac:dyDescent="0.4">
      <c r="C379" t="s">
        <v>3</v>
      </c>
      <c r="D379" t="s">
        <v>683</v>
      </c>
      <c r="E379" t="s">
        <v>1253</v>
      </c>
      <c r="G379" t="s">
        <v>963</v>
      </c>
      <c r="H379" t="s">
        <v>37</v>
      </c>
      <c r="K379" t="s">
        <v>2285</v>
      </c>
      <c r="L379" t="s">
        <v>2286</v>
      </c>
      <c r="M379">
        <v>966577770020</v>
      </c>
      <c r="N379" t="s">
        <v>2287</v>
      </c>
      <c r="S379" t="s">
        <v>2503</v>
      </c>
    </row>
    <row r="380" spans="3:25" x14ac:dyDescent="0.4">
      <c r="C380" t="s">
        <v>4</v>
      </c>
      <c r="D380" t="s">
        <v>684</v>
      </c>
      <c r="E380" t="s">
        <v>1254</v>
      </c>
      <c r="G380" t="s">
        <v>1609</v>
      </c>
      <c r="H380" t="s">
        <v>37</v>
      </c>
      <c r="J380">
        <v>0</v>
      </c>
      <c r="K380" t="s">
        <v>2288</v>
      </c>
      <c r="L380" t="s">
        <v>2289</v>
      </c>
      <c r="M380">
        <v>0</v>
      </c>
      <c r="N380">
        <v>0</v>
      </c>
      <c r="S380" t="s">
        <v>2503</v>
      </c>
      <c r="V380">
        <v>0</v>
      </c>
    </row>
    <row r="381" spans="3:25" x14ac:dyDescent="0.4">
      <c r="C381" t="s">
        <v>3</v>
      </c>
      <c r="D381" t="s">
        <v>685</v>
      </c>
      <c r="E381" t="s">
        <v>1255</v>
      </c>
      <c r="G381" t="s">
        <v>963</v>
      </c>
      <c r="H381" t="s">
        <v>37</v>
      </c>
      <c r="M381">
        <v>966531221580</v>
      </c>
      <c r="N381" t="s">
        <v>2290</v>
      </c>
      <c r="S381" t="s">
        <v>2503</v>
      </c>
    </row>
    <row r="382" spans="3:25" x14ac:dyDescent="0.4">
      <c r="C382" t="s">
        <v>5</v>
      </c>
      <c r="D382" t="s">
        <v>686</v>
      </c>
      <c r="E382" t="s">
        <v>1256</v>
      </c>
      <c r="G382" t="s">
        <v>1622</v>
      </c>
      <c r="H382" t="s">
        <v>1613</v>
      </c>
      <c r="I382" t="s">
        <v>1691</v>
      </c>
      <c r="J382">
        <v>0</v>
      </c>
      <c r="K382" t="s">
        <v>2291</v>
      </c>
      <c r="L382">
        <v>0</v>
      </c>
      <c r="M382" t="s">
        <v>2292</v>
      </c>
      <c r="N382" t="s">
        <v>2293</v>
      </c>
      <c r="S382" t="s">
        <v>2503</v>
      </c>
      <c r="V382">
        <v>0</v>
      </c>
    </row>
    <row r="383" spans="3:25" x14ac:dyDescent="0.4">
      <c r="C383" t="s">
        <v>3</v>
      </c>
      <c r="D383" t="s">
        <v>687</v>
      </c>
      <c r="E383" t="s">
        <v>1257</v>
      </c>
      <c r="G383" t="s">
        <v>963</v>
      </c>
      <c r="H383" t="s">
        <v>37</v>
      </c>
      <c r="S383" t="s">
        <v>2503</v>
      </c>
    </row>
    <row r="384" spans="3:25" x14ac:dyDescent="0.4">
      <c r="C384" t="s">
        <v>4</v>
      </c>
      <c r="D384" t="s">
        <v>688</v>
      </c>
      <c r="E384" t="s">
        <v>1258</v>
      </c>
      <c r="G384" t="s">
        <v>1692</v>
      </c>
      <c r="H384" t="s">
        <v>44</v>
      </c>
      <c r="J384" t="s">
        <v>1994</v>
      </c>
      <c r="K384">
        <v>0</v>
      </c>
      <c r="L384">
        <v>0</v>
      </c>
      <c r="M384">
        <v>0</v>
      </c>
      <c r="N384">
        <v>0</v>
      </c>
      <c r="S384" t="s">
        <v>2503</v>
      </c>
      <c r="V384" t="s">
        <v>2563</v>
      </c>
    </row>
    <row r="385" spans="3:25" x14ac:dyDescent="0.4">
      <c r="C385" t="s">
        <v>3</v>
      </c>
      <c r="D385" t="s">
        <v>689</v>
      </c>
      <c r="E385" t="s">
        <v>1259</v>
      </c>
      <c r="G385" t="s">
        <v>1693</v>
      </c>
      <c r="H385" t="s">
        <v>44</v>
      </c>
      <c r="K385" t="s">
        <v>2294</v>
      </c>
      <c r="L385" t="s">
        <v>2295</v>
      </c>
      <c r="M385" t="s">
        <v>2296</v>
      </c>
      <c r="S385" t="s">
        <v>2503</v>
      </c>
    </row>
    <row r="386" spans="3:25" x14ac:dyDescent="0.4">
      <c r="C386" t="s">
        <v>3</v>
      </c>
      <c r="D386" t="s">
        <v>690</v>
      </c>
      <c r="E386" t="s">
        <v>1260</v>
      </c>
      <c r="G386" t="s">
        <v>1694</v>
      </c>
      <c r="H386" t="s">
        <v>39</v>
      </c>
      <c r="I386" t="s">
        <v>1695</v>
      </c>
      <c r="J386">
        <v>0</v>
      </c>
      <c r="K386" t="s">
        <v>2297</v>
      </c>
      <c r="L386" t="s">
        <v>2298</v>
      </c>
      <c r="M386">
        <v>0</v>
      </c>
      <c r="N386">
        <v>0</v>
      </c>
      <c r="S386" t="s">
        <v>2503</v>
      </c>
      <c r="V386" t="s">
        <v>2564</v>
      </c>
    </row>
    <row r="387" spans="3:25" x14ac:dyDescent="0.4">
      <c r="C387" t="s">
        <v>3</v>
      </c>
      <c r="D387" t="s">
        <v>691</v>
      </c>
      <c r="E387" t="s">
        <v>1261</v>
      </c>
      <c r="G387" t="s">
        <v>1696</v>
      </c>
      <c r="H387" t="s">
        <v>37</v>
      </c>
      <c r="I387" t="s">
        <v>1697</v>
      </c>
      <c r="K387" t="s">
        <v>2299</v>
      </c>
      <c r="M387" t="s">
        <v>2300</v>
      </c>
      <c r="S387" t="s">
        <v>2503</v>
      </c>
    </row>
    <row r="388" spans="3:25" x14ac:dyDescent="0.4">
      <c r="C388" t="s">
        <v>3</v>
      </c>
      <c r="D388" t="s">
        <v>692</v>
      </c>
      <c r="E388" t="s">
        <v>1262</v>
      </c>
      <c r="G388" t="s">
        <v>963</v>
      </c>
      <c r="H388" t="s">
        <v>37</v>
      </c>
      <c r="I388" t="s">
        <v>1698</v>
      </c>
      <c r="J388">
        <v>0</v>
      </c>
      <c r="K388">
        <v>0</v>
      </c>
      <c r="L388">
        <v>0</v>
      </c>
      <c r="M388">
        <v>0</v>
      </c>
      <c r="N388">
        <v>0</v>
      </c>
      <c r="S388" t="s">
        <v>2503</v>
      </c>
      <c r="V388">
        <v>0</v>
      </c>
    </row>
    <row r="389" spans="3:25" x14ac:dyDescent="0.4">
      <c r="C389" t="s">
        <v>3</v>
      </c>
      <c r="D389" t="s">
        <v>693</v>
      </c>
      <c r="E389" t="s">
        <v>1263</v>
      </c>
      <c r="G389" t="s">
        <v>51</v>
      </c>
      <c r="H389" t="s">
        <v>37</v>
      </c>
      <c r="I389" t="s">
        <v>1699</v>
      </c>
      <c r="K389" t="s">
        <v>2301</v>
      </c>
      <c r="M389">
        <v>966558875054</v>
      </c>
      <c r="N389" t="s">
        <v>2302</v>
      </c>
      <c r="S389" t="s">
        <v>2503</v>
      </c>
    </row>
    <row r="390" spans="3:25" x14ac:dyDescent="0.4">
      <c r="C390" t="s">
        <v>4</v>
      </c>
      <c r="D390" t="s">
        <v>694</v>
      </c>
      <c r="E390" t="s">
        <v>1264</v>
      </c>
      <c r="G390" t="s">
        <v>963</v>
      </c>
      <c r="H390" t="s">
        <v>37</v>
      </c>
      <c r="I390" t="s">
        <v>1700</v>
      </c>
      <c r="J390" t="s">
        <v>1995</v>
      </c>
      <c r="K390" t="s">
        <v>2303</v>
      </c>
      <c r="L390">
        <v>0</v>
      </c>
      <c r="M390">
        <v>0</v>
      </c>
      <c r="N390">
        <v>0</v>
      </c>
      <c r="S390" t="s">
        <v>2503</v>
      </c>
      <c r="U390" s="91">
        <v>45991</v>
      </c>
      <c r="V390" t="s">
        <v>2565</v>
      </c>
    </row>
    <row r="391" spans="3:25" x14ac:dyDescent="0.4">
      <c r="C391" t="s">
        <v>3</v>
      </c>
      <c r="D391" t="s">
        <v>695</v>
      </c>
      <c r="E391" t="s">
        <v>1265</v>
      </c>
      <c r="G391" t="s">
        <v>1423</v>
      </c>
      <c r="H391" t="s">
        <v>35</v>
      </c>
      <c r="I391" t="s">
        <v>1701</v>
      </c>
      <c r="K391" t="s">
        <v>2304</v>
      </c>
      <c r="N391" t="s">
        <v>2305</v>
      </c>
      <c r="S391" t="s">
        <v>2503</v>
      </c>
    </row>
    <row r="392" spans="3:25" x14ac:dyDescent="0.4">
      <c r="C392" t="s">
        <v>4</v>
      </c>
      <c r="D392" t="s">
        <v>696</v>
      </c>
      <c r="E392" t="s">
        <v>1266</v>
      </c>
      <c r="G392" t="s">
        <v>963</v>
      </c>
      <c r="H392" t="s">
        <v>37</v>
      </c>
      <c r="I392" t="s">
        <v>1702</v>
      </c>
      <c r="J392">
        <v>0</v>
      </c>
      <c r="K392">
        <v>0</v>
      </c>
      <c r="L392">
        <v>0</v>
      </c>
      <c r="M392">
        <v>0</v>
      </c>
      <c r="N392">
        <v>0</v>
      </c>
      <c r="S392" t="s">
        <v>2503</v>
      </c>
      <c r="V392">
        <v>0</v>
      </c>
    </row>
    <row r="393" spans="3:25" x14ac:dyDescent="0.4">
      <c r="C393" t="s">
        <v>3</v>
      </c>
      <c r="D393" t="s">
        <v>697</v>
      </c>
      <c r="E393" t="s">
        <v>1267</v>
      </c>
      <c r="G393" t="s">
        <v>1154</v>
      </c>
      <c r="H393" t="s">
        <v>37</v>
      </c>
      <c r="K393" t="s">
        <v>2208</v>
      </c>
      <c r="M393">
        <v>966596466978</v>
      </c>
      <c r="S393" t="s">
        <v>2503</v>
      </c>
    </row>
    <row r="394" spans="3:25" x14ac:dyDescent="0.4">
      <c r="C394" t="s">
        <v>4</v>
      </c>
      <c r="D394" t="s">
        <v>698</v>
      </c>
      <c r="E394" t="s">
        <v>1268</v>
      </c>
      <c r="G394" t="s">
        <v>963</v>
      </c>
      <c r="H394" t="s">
        <v>37</v>
      </c>
      <c r="I394" t="s">
        <v>1703</v>
      </c>
      <c r="J394">
        <v>0</v>
      </c>
      <c r="K394">
        <v>0</v>
      </c>
      <c r="L394">
        <v>0</v>
      </c>
      <c r="M394">
        <v>0</v>
      </c>
      <c r="N394" t="s">
        <v>2306</v>
      </c>
      <c r="S394" t="s">
        <v>2503</v>
      </c>
      <c r="V394">
        <v>0</v>
      </c>
    </row>
    <row r="395" spans="3:25" x14ac:dyDescent="0.4">
      <c r="C395" t="s">
        <v>3</v>
      </c>
      <c r="D395" t="s">
        <v>699</v>
      </c>
      <c r="E395" t="s">
        <v>1269</v>
      </c>
      <c r="G395" t="s">
        <v>1704</v>
      </c>
      <c r="H395" t="s">
        <v>39</v>
      </c>
      <c r="K395" t="s">
        <v>2307</v>
      </c>
      <c r="N395" t="s">
        <v>2308</v>
      </c>
      <c r="S395" t="s">
        <v>2503</v>
      </c>
    </row>
    <row r="396" spans="3:25" x14ac:dyDescent="0.4">
      <c r="C396" t="s">
        <v>4</v>
      </c>
      <c r="D396" t="s">
        <v>700</v>
      </c>
      <c r="E396" t="s">
        <v>1270</v>
      </c>
      <c r="G396" t="s">
        <v>963</v>
      </c>
      <c r="H396" t="s">
        <v>37</v>
      </c>
      <c r="I396" t="s">
        <v>1705</v>
      </c>
      <c r="J396">
        <v>0</v>
      </c>
      <c r="K396">
        <v>0</v>
      </c>
      <c r="L396">
        <v>0</v>
      </c>
      <c r="M396">
        <v>0</v>
      </c>
      <c r="N396" t="s">
        <v>2309</v>
      </c>
      <c r="S396" t="s">
        <v>2503</v>
      </c>
      <c r="V396">
        <v>0</v>
      </c>
    </row>
    <row r="397" spans="3:25" x14ac:dyDescent="0.4">
      <c r="C397" t="s">
        <v>3</v>
      </c>
      <c r="D397" t="s">
        <v>701</v>
      </c>
      <c r="E397" t="s">
        <v>1271</v>
      </c>
      <c r="G397" t="s">
        <v>963</v>
      </c>
      <c r="H397" t="s">
        <v>37</v>
      </c>
      <c r="I397" t="s">
        <v>1706</v>
      </c>
      <c r="K397" t="s">
        <v>2310</v>
      </c>
      <c r="M397">
        <v>966505485700</v>
      </c>
      <c r="S397" t="s">
        <v>2503</v>
      </c>
    </row>
    <row r="398" spans="3:25" x14ac:dyDescent="0.4">
      <c r="C398" t="s">
        <v>4</v>
      </c>
      <c r="D398" t="s">
        <v>702</v>
      </c>
      <c r="E398" t="s">
        <v>1272</v>
      </c>
      <c r="G398" t="s">
        <v>963</v>
      </c>
      <c r="H398" t="s">
        <v>37</v>
      </c>
      <c r="I398" t="s">
        <v>1707</v>
      </c>
      <c r="J398">
        <v>0</v>
      </c>
      <c r="K398">
        <v>0</v>
      </c>
      <c r="L398">
        <v>0</v>
      </c>
      <c r="M398">
        <v>0</v>
      </c>
      <c r="N398">
        <v>0</v>
      </c>
      <c r="S398" t="s">
        <v>2508</v>
      </c>
      <c r="V398" t="s">
        <v>2566</v>
      </c>
      <c r="W398" t="s">
        <v>2598</v>
      </c>
      <c r="X398" s="4">
        <v>250000</v>
      </c>
      <c r="Y398" t="s">
        <v>29</v>
      </c>
    </row>
    <row r="399" spans="3:25" x14ac:dyDescent="0.4">
      <c r="C399" t="s">
        <v>3</v>
      </c>
      <c r="D399" t="s">
        <v>703</v>
      </c>
      <c r="E399" t="s">
        <v>1273</v>
      </c>
      <c r="G399" t="s">
        <v>963</v>
      </c>
      <c r="H399" t="s">
        <v>37</v>
      </c>
      <c r="K399" t="s">
        <v>2311</v>
      </c>
      <c r="M399" t="s">
        <v>2312</v>
      </c>
      <c r="S399" t="s">
        <v>2503</v>
      </c>
    </row>
    <row r="400" spans="3:25" x14ac:dyDescent="0.4">
      <c r="C400" t="s">
        <v>4</v>
      </c>
      <c r="D400" t="s">
        <v>704</v>
      </c>
      <c r="E400" t="s">
        <v>1274</v>
      </c>
      <c r="G400" t="s">
        <v>963</v>
      </c>
      <c r="H400" t="s">
        <v>37</v>
      </c>
      <c r="I400" t="s">
        <v>1708</v>
      </c>
      <c r="J400" t="s">
        <v>1996</v>
      </c>
      <c r="K400" t="s">
        <v>2313</v>
      </c>
      <c r="L400" t="s">
        <v>2314</v>
      </c>
      <c r="M400" t="s">
        <v>1996</v>
      </c>
      <c r="N400" t="s">
        <v>2315</v>
      </c>
      <c r="S400" t="s">
        <v>2503</v>
      </c>
      <c r="V400">
        <v>0</v>
      </c>
    </row>
    <row r="401" spans="3:22" x14ac:dyDescent="0.4">
      <c r="C401" t="s">
        <v>3</v>
      </c>
      <c r="D401" t="s">
        <v>705</v>
      </c>
      <c r="E401" t="s">
        <v>1275</v>
      </c>
      <c r="G401" t="s">
        <v>963</v>
      </c>
      <c r="H401" t="s">
        <v>37</v>
      </c>
      <c r="I401" t="s">
        <v>1709</v>
      </c>
      <c r="J401" t="s">
        <v>1997</v>
      </c>
      <c r="S401" t="s">
        <v>2503</v>
      </c>
    </row>
    <row r="402" spans="3:22" x14ac:dyDescent="0.4">
      <c r="C402" t="s">
        <v>3</v>
      </c>
      <c r="D402" t="s">
        <v>706</v>
      </c>
      <c r="E402" t="s">
        <v>1276</v>
      </c>
      <c r="G402" t="s">
        <v>963</v>
      </c>
      <c r="H402" t="s">
        <v>37</v>
      </c>
      <c r="J402">
        <v>0</v>
      </c>
      <c r="K402">
        <v>0</v>
      </c>
      <c r="L402">
        <v>0</v>
      </c>
      <c r="M402">
        <v>0</v>
      </c>
      <c r="N402">
        <v>0</v>
      </c>
      <c r="S402" t="s">
        <v>2503</v>
      </c>
      <c r="V402">
        <v>0</v>
      </c>
    </row>
    <row r="403" spans="3:22" x14ac:dyDescent="0.4">
      <c r="C403" t="s">
        <v>3</v>
      </c>
      <c r="D403" t="s">
        <v>707</v>
      </c>
      <c r="E403" t="s">
        <v>1277</v>
      </c>
      <c r="G403" t="s">
        <v>963</v>
      </c>
      <c r="H403" t="s">
        <v>37</v>
      </c>
      <c r="I403" t="s">
        <v>1710</v>
      </c>
      <c r="K403" t="s">
        <v>2316</v>
      </c>
      <c r="M403">
        <v>966566294119</v>
      </c>
      <c r="N403" t="s">
        <v>2317</v>
      </c>
      <c r="S403" t="s">
        <v>2503</v>
      </c>
    </row>
    <row r="404" spans="3:22" x14ac:dyDescent="0.4">
      <c r="C404" t="s">
        <v>3</v>
      </c>
      <c r="D404" t="s">
        <v>708</v>
      </c>
      <c r="E404" t="s">
        <v>1278</v>
      </c>
      <c r="G404" t="s">
        <v>1524</v>
      </c>
      <c r="H404" t="s">
        <v>35</v>
      </c>
      <c r="I404" t="s">
        <v>1711</v>
      </c>
      <c r="J404">
        <v>0</v>
      </c>
      <c r="K404">
        <v>0</v>
      </c>
      <c r="L404">
        <v>0</v>
      </c>
      <c r="M404">
        <v>0</v>
      </c>
      <c r="N404">
        <v>0</v>
      </c>
      <c r="S404" t="s">
        <v>2503</v>
      </c>
      <c r="V404">
        <v>0</v>
      </c>
    </row>
    <row r="405" spans="3:22" x14ac:dyDescent="0.4">
      <c r="C405" t="s">
        <v>3</v>
      </c>
      <c r="D405" t="s">
        <v>709</v>
      </c>
      <c r="E405" t="s">
        <v>1279</v>
      </c>
      <c r="G405" t="s">
        <v>1154</v>
      </c>
      <c r="H405" t="s">
        <v>37</v>
      </c>
      <c r="I405" t="s">
        <v>1712</v>
      </c>
      <c r="J405" t="s">
        <v>1998</v>
      </c>
      <c r="K405" t="s">
        <v>2318</v>
      </c>
      <c r="M405">
        <v>966542256590</v>
      </c>
      <c r="N405" t="s">
        <v>2319</v>
      </c>
      <c r="S405" t="s">
        <v>2503</v>
      </c>
    </row>
    <row r="406" spans="3:22" x14ac:dyDescent="0.4">
      <c r="C406" t="s">
        <v>4</v>
      </c>
      <c r="D406" t="s">
        <v>710</v>
      </c>
      <c r="E406" t="s">
        <v>1280</v>
      </c>
      <c r="G406" t="s">
        <v>966</v>
      </c>
      <c r="H406" t="s">
        <v>38</v>
      </c>
      <c r="I406" t="s">
        <v>1713</v>
      </c>
      <c r="J406" t="s">
        <v>1999</v>
      </c>
      <c r="K406" t="s">
        <v>2320</v>
      </c>
      <c r="L406" t="s">
        <v>2321</v>
      </c>
      <c r="M406" t="s">
        <v>1999</v>
      </c>
      <c r="N406" t="s">
        <v>2322</v>
      </c>
      <c r="S406" t="s">
        <v>2503</v>
      </c>
      <c r="V406">
        <v>0</v>
      </c>
    </row>
    <row r="407" spans="3:22" x14ac:dyDescent="0.4">
      <c r="C407" t="s">
        <v>3</v>
      </c>
      <c r="D407" t="s">
        <v>711</v>
      </c>
      <c r="E407" t="s">
        <v>1281</v>
      </c>
      <c r="G407" t="s">
        <v>58</v>
      </c>
      <c r="H407" t="s">
        <v>44</v>
      </c>
      <c r="K407" t="s">
        <v>2323</v>
      </c>
      <c r="M407">
        <v>97336030642</v>
      </c>
      <c r="N407" t="s">
        <v>2324</v>
      </c>
      <c r="S407" t="s">
        <v>2503</v>
      </c>
    </row>
    <row r="408" spans="3:22" x14ac:dyDescent="0.4">
      <c r="C408" t="s">
        <v>4</v>
      </c>
      <c r="D408" t="s">
        <v>342</v>
      </c>
      <c r="E408" t="s">
        <v>1282</v>
      </c>
      <c r="G408" t="s">
        <v>940</v>
      </c>
      <c r="H408" t="s">
        <v>40</v>
      </c>
      <c r="I408" t="s">
        <v>1714</v>
      </c>
      <c r="J408">
        <v>0</v>
      </c>
      <c r="K408">
        <v>0</v>
      </c>
      <c r="L408">
        <v>0</v>
      </c>
      <c r="M408">
        <v>0</v>
      </c>
      <c r="N408">
        <v>0</v>
      </c>
      <c r="S408" t="s">
        <v>2503</v>
      </c>
      <c r="V408">
        <v>0</v>
      </c>
    </row>
    <row r="409" spans="3:22" x14ac:dyDescent="0.4">
      <c r="C409" t="s">
        <v>3</v>
      </c>
      <c r="D409" t="s">
        <v>712</v>
      </c>
      <c r="E409" t="s">
        <v>1283</v>
      </c>
      <c r="G409" t="s">
        <v>963</v>
      </c>
      <c r="H409" t="s">
        <v>37</v>
      </c>
      <c r="I409" t="s">
        <v>1715</v>
      </c>
      <c r="K409" t="s">
        <v>2325</v>
      </c>
      <c r="M409">
        <v>966506605246</v>
      </c>
      <c r="S409" t="s">
        <v>2503</v>
      </c>
    </row>
    <row r="410" spans="3:22" x14ac:dyDescent="0.4">
      <c r="C410" t="s">
        <v>3</v>
      </c>
      <c r="D410" t="s">
        <v>351</v>
      </c>
      <c r="E410" t="s">
        <v>1284</v>
      </c>
      <c r="G410" t="s">
        <v>940</v>
      </c>
      <c r="H410" t="s">
        <v>40</v>
      </c>
      <c r="I410" t="s">
        <v>1716</v>
      </c>
      <c r="J410">
        <v>0</v>
      </c>
      <c r="K410">
        <v>0</v>
      </c>
      <c r="L410">
        <v>0</v>
      </c>
      <c r="M410">
        <v>0</v>
      </c>
      <c r="N410">
        <v>0</v>
      </c>
      <c r="S410" t="s">
        <v>2503</v>
      </c>
      <c r="V410">
        <v>0</v>
      </c>
    </row>
    <row r="411" spans="3:22" x14ac:dyDescent="0.4">
      <c r="C411" t="s">
        <v>3</v>
      </c>
      <c r="D411" t="s">
        <v>713</v>
      </c>
      <c r="E411" t="s">
        <v>1285</v>
      </c>
      <c r="G411" t="s">
        <v>966</v>
      </c>
      <c r="H411" t="s">
        <v>38</v>
      </c>
      <c r="S411" t="s">
        <v>2503</v>
      </c>
    </row>
    <row r="412" spans="3:22" x14ac:dyDescent="0.4">
      <c r="C412" t="s">
        <v>4</v>
      </c>
      <c r="D412" t="s">
        <v>714</v>
      </c>
      <c r="E412" t="s">
        <v>1286</v>
      </c>
      <c r="G412" t="s">
        <v>1004</v>
      </c>
      <c r="H412" t="s">
        <v>43</v>
      </c>
      <c r="I412" t="s">
        <v>1717</v>
      </c>
      <c r="J412">
        <v>0</v>
      </c>
      <c r="K412">
        <v>0</v>
      </c>
      <c r="L412">
        <v>0</v>
      </c>
      <c r="N412">
        <v>0</v>
      </c>
      <c r="S412" t="s">
        <v>2503</v>
      </c>
      <c r="V412">
        <v>0</v>
      </c>
    </row>
    <row r="413" spans="3:22" x14ac:dyDescent="0.4">
      <c r="C413" t="s">
        <v>3</v>
      </c>
      <c r="D413" t="s">
        <v>715</v>
      </c>
      <c r="E413" t="s">
        <v>1287</v>
      </c>
      <c r="G413" t="s">
        <v>64</v>
      </c>
      <c r="H413" t="s">
        <v>63</v>
      </c>
      <c r="I413" t="s">
        <v>1718</v>
      </c>
      <c r="S413" t="s">
        <v>2503</v>
      </c>
    </row>
    <row r="414" spans="3:22" x14ac:dyDescent="0.4">
      <c r="C414" t="s">
        <v>4</v>
      </c>
      <c r="D414" t="s">
        <v>716</v>
      </c>
      <c r="E414" t="s">
        <v>1288</v>
      </c>
      <c r="G414" t="s">
        <v>1423</v>
      </c>
      <c r="H414" t="s">
        <v>35</v>
      </c>
      <c r="I414" t="s">
        <v>1719</v>
      </c>
      <c r="J414">
        <v>0</v>
      </c>
      <c r="K414">
        <v>0</v>
      </c>
      <c r="L414">
        <v>0</v>
      </c>
      <c r="N414">
        <v>0</v>
      </c>
      <c r="S414" t="s">
        <v>2503</v>
      </c>
      <c r="V414" t="s">
        <v>2567</v>
      </c>
    </row>
    <row r="415" spans="3:22" x14ac:dyDescent="0.4">
      <c r="C415" t="s">
        <v>3</v>
      </c>
      <c r="D415" t="s">
        <v>717</v>
      </c>
      <c r="E415" t="s">
        <v>1289</v>
      </c>
      <c r="G415" t="s">
        <v>1720</v>
      </c>
      <c r="H415" t="s">
        <v>35</v>
      </c>
      <c r="I415" t="s">
        <v>1721</v>
      </c>
      <c r="J415" t="s">
        <v>2000</v>
      </c>
      <c r="N415" t="s">
        <v>2326</v>
      </c>
      <c r="S415" t="s">
        <v>2503</v>
      </c>
    </row>
    <row r="416" spans="3:22" x14ac:dyDescent="0.4">
      <c r="C416" t="s">
        <v>4</v>
      </c>
      <c r="D416" t="s">
        <v>718</v>
      </c>
      <c r="E416" t="s">
        <v>1290</v>
      </c>
      <c r="G416" t="s">
        <v>1609</v>
      </c>
      <c r="H416" t="s">
        <v>37</v>
      </c>
      <c r="I416" t="s">
        <v>1722</v>
      </c>
      <c r="J416">
        <v>0</v>
      </c>
      <c r="K416">
        <v>0</v>
      </c>
      <c r="L416">
        <v>0</v>
      </c>
      <c r="N416">
        <v>0</v>
      </c>
      <c r="S416" t="s">
        <v>2509</v>
      </c>
      <c r="V416" t="s">
        <v>2568</v>
      </c>
    </row>
    <row r="417" spans="3:24" x14ac:dyDescent="0.4">
      <c r="C417" t="s">
        <v>3</v>
      </c>
      <c r="D417" t="s">
        <v>719</v>
      </c>
      <c r="E417" t="s">
        <v>1291</v>
      </c>
      <c r="G417" t="s">
        <v>966</v>
      </c>
      <c r="H417" t="s">
        <v>38</v>
      </c>
      <c r="J417" t="s">
        <v>2001</v>
      </c>
      <c r="K417" t="s">
        <v>2327</v>
      </c>
      <c r="N417" t="s">
        <v>2328</v>
      </c>
      <c r="S417" t="s">
        <v>2503</v>
      </c>
    </row>
    <row r="418" spans="3:24" x14ac:dyDescent="0.4">
      <c r="C418" t="s">
        <v>4</v>
      </c>
      <c r="D418" t="s">
        <v>720</v>
      </c>
      <c r="E418" t="s">
        <v>1292</v>
      </c>
      <c r="G418" t="s">
        <v>1423</v>
      </c>
      <c r="H418" t="s">
        <v>35</v>
      </c>
      <c r="I418" t="s">
        <v>1723</v>
      </c>
      <c r="J418" t="s">
        <v>2002</v>
      </c>
      <c r="K418">
        <v>0</v>
      </c>
      <c r="L418">
        <v>0</v>
      </c>
      <c r="N418" t="s">
        <v>2329</v>
      </c>
      <c r="S418" t="s">
        <v>2510</v>
      </c>
      <c r="V418" t="s">
        <v>2569</v>
      </c>
    </row>
    <row r="419" spans="3:24" x14ac:dyDescent="0.4">
      <c r="C419" t="s">
        <v>3</v>
      </c>
      <c r="D419" t="s">
        <v>721</v>
      </c>
      <c r="E419" t="s">
        <v>1293</v>
      </c>
      <c r="G419" t="s">
        <v>963</v>
      </c>
      <c r="H419" t="s">
        <v>37</v>
      </c>
      <c r="I419" t="s">
        <v>1724</v>
      </c>
      <c r="J419" t="s">
        <v>2003</v>
      </c>
      <c r="K419" t="s">
        <v>2330</v>
      </c>
      <c r="M419">
        <v>966554141992</v>
      </c>
      <c r="N419" t="s">
        <v>2331</v>
      </c>
      <c r="S419" t="s">
        <v>2503</v>
      </c>
    </row>
    <row r="420" spans="3:24" x14ac:dyDescent="0.4">
      <c r="C420" t="s">
        <v>4</v>
      </c>
      <c r="D420" t="s">
        <v>722</v>
      </c>
      <c r="E420" t="s">
        <v>1294</v>
      </c>
      <c r="G420" t="s">
        <v>963</v>
      </c>
      <c r="H420" t="s">
        <v>37</v>
      </c>
      <c r="I420" t="s">
        <v>1725</v>
      </c>
      <c r="J420">
        <v>0</v>
      </c>
      <c r="K420">
        <v>0</v>
      </c>
      <c r="L420">
        <v>0</v>
      </c>
      <c r="N420" t="s">
        <v>2332</v>
      </c>
      <c r="S420" t="s">
        <v>2509</v>
      </c>
      <c r="V420">
        <v>0</v>
      </c>
      <c r="X420" s="4">
        <v>200000</v>
      </c>
    </row>
    <row r="421" spans="3:24" x14ac:dyDescent="0.4">
      <c r="C421" t="s">
        <v>3</v>
      </c>
      <c r="D421" t="s">
        <v>723</v>
      </c>
      <c r="E421" t="s">
        <v>1295</v>
      </c>
      <c r="G421" t="s">
        <v>1524</v>
      </c>
      <c r="H421" t="s">
        <v>35</v>
      </c>
      <c r="S421" t="s">
        <v>2503</v>
      </c>
    </row>
    <row r="422" spans="3:24" x14ac:dyDescent="0.4">
      <c r="C422" t="s">
        <v>3</v>
      </c>
      <c r="D422" t="s">
        <v>724</v>
      </c>
      <c r="E422" t="s">
        <v>1172</v>
      </c>
      <c r="G422" t="s">
        <v>1417</v>
      </c>
      <c r="H422" t="s">
        <v>35</v>
      </c>
      <c r="I422" t="s">
        <v>1726</v>
      </c>
      <c r="S422" t="s">
        <v>2503</v>
      </c>
    </row>
    <row r="423" spans="3:24" x14ac:dyDescent="0.4">
      <c r="C423" t="s">
        <v>3</v>
      </c>
      <c r="D423" t="s">
        <v>725</v>
      </c>
      <c r="E423" t="s">
        <v>1296</v>
      </c>
      <c r="G423" t="s">
        <v>1524</v>
      </c>
      <c r="H423" t="s">
        <v>35</v>
      </c>
      <c r="I423" t="s">
        <v>1727</v>
      </c>
      <c r="J423" t="s">
        <v>2004</v>
      </c>
      <c r="S423" t="s">
        <v>2503</v>
      </c>
    </row>
    <row r="424" spans="3:24" x14ac:dyDescent="0.4">
      <c r="C424" t="s">
        <v>3</v>
      </c>
      <c r="D424" t="s">
        <v>726</v>
      </c>
      <c r="E424" t="s">
        <v>1297</v>
      </c>
      <c r="G424" t="s">
        <v>963</v>
      </c>
      <c r="H424" t="s">
        <v>37</v>
      </c>
      <c r="I424" t="s">
        <v>1728</v>
      </c>
      <c r="S424" t="s">
        <v>2503</v>
      </c>
    </row>
    <row r="425" spans="3:24" x14ac:dyDescent="0.4">
      <c r="C425" t="s">
        <v>3</v>
      </c>
      <c r="D425" t="s">
        <v>727</v>
      </c>
      <c r="E425" t="s">
        <v>1298</v>
      </c>
      <c r="G425" t="s">
        <v>1417</v>
      </c>
      <c r="H425" t="s">
        <v>35</v>
      </c>
      <c r="I425" t="s">
        <v>1729</v>
      </c>
      <c r="J425" t="s">
        <v>2005</v>
      </c>
      <c r="K425" t="s">
        <v>2333</v>
      </c>
      <c r="M425" t="s">
        <v>2334</v>
      </c>
      <c r="N425" t="s">
        <v>2335</v>
      </c>
      <c r="S425" t="s">
        <v>2503</v>
      </c>
    </row>
    <row r="426" spans="3:24" x14ac:dyDescent="0.4">
      <c r="C426" t="s">
        <v>3</v>
      </c>
      <c r="D426" t="s">
        <v>728</v>
      </c>
      <c r="E426" t="s">
        <v>1299</v>
      </c>
      <c r="G426" t="s">
        <v>1423</v>
      </c>
      <c r="H426" t="s">
        <v>35</v>
      </c>
      <c r="I426" t="s">
        <v>1730</v>
      </c>
      <c r="J426" t="s">
        <v>2006</v>
      </c>
      <c r="K426" t="s">
        <v>2336</v>
      </c>
      <c r="N426" t="s">
        <v>2337</v>
      </c>
      <c r="S426" t="s">
        <v>2503</v>
      </c>
    </row>
    <row r="427" spans="3:24" x14ac:dyDescent="0.4">
      <c r="C427" t="s">
        <v>3</v>
      </c>
      <c r="D427" t="s">
        <v>729</v>
      </c>
      <c r="E427" t="s">
        <v>1300</v>
      </c>
      <c r="G427" t="s">
        <v>1423</v>
      </c>
      <c r="H427" t="s">
        <v>35</v>
      </c>
      <c r="I427" t="s">
        <v>1731</v>
      </c>
      <c r="J427" t="s">
        <v>2007</v>
      </c>
      <c r="S427" t="s">
        <v>2503</v>
      </c>
    </row>
    <row r="428" spans="3:24" x14ac:dyDescent="0.4">
      <c r="C428" t="s">
        <v>3</v>
      </c>
      <c r="D428" t="s">
        <v>730</v>
      </c>
      <c r="E428" t="s">
        <v>1301</v>
      </c>
      <c r="G428" t="s">
        <v>1423</v>
      </c>
      <c r="H428" t="s">
        <v>35</v>
      </c>
      <c r="I428" t="s">
        <v>1732</v>
      </c>
      <c r="J428">
        <v>80037322</v>
      </c>
      <c r="N428" t="s">
        <v>2338</v>
      </c>
      <c r="S428" t="s">
        <v>2503</v>
      </c>
    </row>
    <row r="429" spans="3:24" x14ac:dyDescent="0.4">
      <c r="C429" t="s">
        <v>3</v>
      </c>
      <c r="D429" t="s">
        <v>731</v>
      </c>
      <c r="E429" t="s">
        <v>1302</v>
      </c>
      <c r="G429" t="s">
        <v>1417</v>
      </c>
      <c r="H429" t="s">
        <v>35</v>
      </c>
      <c r="I429" t="s">
        <v>1733</v>
      </c>
      <c r="S429" t="s">
        <v>2503</v>
      </c>
    </row>
    <row r="430" spans="3:24" x14ac:dyDescent="0.4">
      <c r="C430" t="s">
        <v>3</v>
      </c>
      <c r="D430" t="s">
        <v>732</v>
      </c>
      <c r="E430" t="s">
        <v>1303</v>
      </c>
      <c r="G430" t="s">
        <v>1423</v>
      </c>
      <c r="H430" t="s">
        <v>35</v>
      </c>
      <c r="I430" t="s">
        <v>1734</v>
      </c>
      <c r="J430" t="s">
        <v>2008</v>
      </c>
      <c r="N430" t="s">
        <v>2339</v>
      </c>
      <c r="S430" t="s">
        <v>2503</v>
      </c>
    </row>
    <row r="431" spans="3:24" x14ac:dyDescent="0.4">
      <c r="C431" t="s">
        <v>3</v>
      </c>
      <c r="D431" t="s">
        <v>733</v>
      </c>
      <c r="E431" t="s">
        <v>1304</v>
      </c>
      <c r="G431" t="s">
        <v>1423</v>
      </c>
      <c r="H431" t="s">
        <v>35</v>
      </c>
      <c r="I431" t="s">
        <v>1735</v>
      </c>
      <c r="J431">
        <v>800342</v>
      </c>
      <c r="N431" t="s">
        <v>2340</v>
      </c>
      <c r="S431" t="s">
        <v>2503</v>
      </c>
    </row>
    <row r="432" spans="3:24" x14ac:dyDescent="0.4">
      <c r="C432" t="s">
        <v>3</v>
      </c>
      <c r="D432" t="s">
        <v>734</v>
      </c>
      <c r="E432" t="s">
        <v>1305</v>
      </c>
      <c r="G432" t="s">
        <v>1417</v>
      </c>
      <c r="H432" t="s">
        <v>35</v>
      </c>
      <c r="I432" t="s">
        <v>1736</v>
      </c>
      <c r="J432" t="s">
        <v>2009</v>
      </c>
      <c r="N432" t="s">
        <v>2341</v>
      </c>
      <c r="S432" t="s">
        <v>2503</v>
      </c>
    </row>
    <row r="433" spans="3:19" x14ac:dyDescent="0.4">
      <c r="C433" t="s">
        <v>3</v>
      </c>
      <c r="D433" t="s">
        <v>735</v>
      </c>
      <c r="E433" t="s">
        <v>1306</v>
      </c>
      <c r="G433" t="s">
        <v>1417</v>
      </c>
      <c r="H433" t="s">
        <v>35</v>
      </c>
      <c r="I433" t="s">
        <v>1737</v>
      </c>
      <c r="J433">
        <v>97128858100</v>
      </c>
      <c r="M433" t="s">
        <v>2342</v>
      </c>
      <c r="N433" t="s">
        <v>2343</v>
      </c>
      <c r="S433" t="s">
        <v>2503</v>
      </c>
    </row>
    <row r="434" spans="3:19" x14ac:dyDescent="0.4">
      <c r="C434" t="s">
        <v>3</v>
      </c>
      <c r="D434" t="s">
        <v>736</v>
      </c>
      <c r="E434" t="s">
        <v>940</v>
      </c>
      <c r="G434" t="s">
        <v>54</v>
      </c>
      <c r="H434" t="s">
        <v>40</v>
      </c>
      <c r="S434" t="s">
        <v>2503</v>
      </c>
    </row>
    <row r="435" spans="3:19" x14ac:dyDescent="0.4">
      <c r="C435" t="s">
        <v>3</v>
      </c>
      <c r="D435" t="s">
        <v>737</v>
      </c>
      <c r="E435" t="s">
        <v>1307</v>
      </c>
      <c r="G435" t="s">
        <v>966</v>
      </c>
      <c r="H435" t="s">
        <v>38</v>
      </c>
      <c r="J435">
        <v>44940000</v>
      </c>
      <c r="S435" t="s">
        <v>2503</v>
      </c>
    </row>
    <row r="436" spans="3:19" x14ac:dyDescent="0.4">
      <c r="C436" t="s">
        <v>3</v>
      </c>
      <c r="D436" t="s">
        <v>738</v>
      </c>
      <c r="E436" t="s">
        <v>1308</v>
      </c>
      <c r="G436" t="s">
        <v>963</v>
      </c>
      <c r="H436" t="s">
        <v>37</v>
      </c>
      <c r="I436" t="s">
        <v>1738</v>
      </c>
      <c r="J436" t="s">
        <v>2010</v>
      </c>
      <c r="K436" t="s">
        <v>2344</v>
      </c>
      <c r="M436">
        <v>966561096622</v>
      </c>
      <c r="N436" t="s">
        <v>2345</v>
      </c>
      <c r="S436" t="s">
        <v>2503</v>
      </c>
    </row>
    <row r="437" spans="3:19" x14ac:dyDescent="0.4">
      <c r="C437" t="s">
        <v>3</v>
      </c>
      <c r="D437" t="s">
        <v>739</v>
      </c>
      <c r="E437" t="s">
        <v>1309</v>
      </c>
      <c r="G437" t="s">
        <v>966</v>
      </c>
      <c r="H437" t="s">
        <v>38</v>
      </c>
      <c r="I437" t="s">
        <v>1739</v>
      </c>
      <c r="K437" t="s">
        <v>2346</v>
      </c>
      <c r="M437" t="s">
        <v>2347</v>
      </c>
      <c r="S437" t="s">
        <v>2503</v>
      </c>
    </row>
    <row r="438" spans="3:19" x14ac:dyDescent="0.4">
      <c r="C438" t="s">
        <v>3</v>
      </c>
      <c r="D438" t="s">
        <v>740</v>
      </c>
      <c r="E438" t="s">
        <v>1310</v>
      </c>
      <c r="G438" t="s">
        <v>966</v>
      </c>
      <c r="H438" t="s">
        <v>38</v>
      </c>
      <c r="I438" t="s">
        <v>1740</v>
      </c>
      <c r="J438" t="s">
        <v>2011</v>
      </c>
      <c r="K438" t="s">
        <v>2348</v>
      </c>
      <c r="N438" t="s">
        <v>2349</v>
      </c>
      <c r="S438" t="s">
        <v>2503</v>
      </c>
    </row>
    <row r="439" spans="3:19" x14ac:dyDescent="0.4">
      <c r="C439" t="s">
        <v>3</v>
      </c>
      <c r="D439" t="s">
        <v>741</v>
      </c>
      <c r="E439" t="s">
        <v>1311</v>
      </c>
      <c r="G439" t="s">
        <v>1487</v>
      </c>
      <c r="H439" t="s">
        <v>41</v>
      </c>
      <c r="I439" t="s">
        <v>1741</v>
      </c>
      <c r="S439" t="s">
        <v>2503</v>
      </c>
    </row>
    <row r="440" spans="3:19" x14ac:dyDescent="0.4">
      <c r="C440" t="s">
        <v>3</v>
      </c>
      <c r="D440" t="s">
        <v>742</v>
      </c>
      <c r="E440" t="s">
        <v>1312</v>
      </c>
      <c r="G440" t="s">
        <v>1004</v>
      </c>
      <c r="H440" t="s">
        <v>43</v>
      </c>
      <c r="I440" t="s">
        <v>1742</v>
      </c>
      <c r="J440" t="s">
        <v>2012</v>
      </c>
      <c r="N440" t="s">
        <v>2350</v>
      </c>
      <c r="S440" t="s">
        <v>2503</v>
      </c>
    </row>
    <row r="441" spans="3:19" x14ac:dyDescent="0.4">
      <c r="C441" t="s">
        <v>3</v>
      </c>
      <c r="D441" t="s">
        <v>743</v>
      </c>
      <c r="H441" t="s">
        <v>43</v>
      </c>
      <c r="S441" t="s">
        <v>2503</v>
      </c>
    </row>
    <row r="442" spans="3:19" x14ac:dyDescent="0.4">
      <c r="C442" t="s">
        <v>3</v>
      </c>
      <c r="D442" t="s">
        <v>744</v>
      </c>
      <c r="H442" t="s">
        <v>43</v>
      </c>
      <c r="S442" t="s">
        <v>2503</v>
      </c>
    </row>
    <row r="443" spans="3:19" x14ac:dyDescent="0.4">
      <c r="C443" t="s">
        <v>3</v>
      </c>
      <c r="D443" t="s">
        <v>745</v>
      </c>
      <c r="E443" t="s">
        <v>1313</v>
      </c>
      <c r="G443" t="s">
        <v>1489</v>
      </c>
      <c r="H443" t="s">
        <v>37</v>
      </c>
      <c r="I443" t="s">
        <v>1743</v>
      </c>
      <c r="J443">
        <v>42119000</v>
      </c>
      <c r="S443" t="s">
        <v>2503</v>
      </c>
    </row>
    <row r="444" spans="3:19" x14ac:dyDescent="0.4">
      <c r="C444" t="s">
        <v>3</v>
      </c>
      <c r="D444" t="s">
        <v>746</v>
      </c>
      <c r="E444" t="s">
        <v>1314</v>
      </c>
      <c r="G444" t="s">
        <v>963</v>
      </c>
      <c r="H444" t="s">
        <v>37</v>
      </c>
      <c r="S444" t="s">
        <v>2503</v>
      </c>
    </row>
    <row r="445" spans="3:19" x14ac:dyDescent="0.4">
      <c r="C445" t="s">
        <v>3</v>
      </c>
      <c r="D445" t="s">
        <v>747</v>
      </c>
      <c r="E445" t="s">
        <v>1315</v>
      </c>
      <c r="G445" t="s">
        <v>963</v>
      </c>
      <c r="H445" t="s">
        <v>37</v>
      </c>
      <c r="I445" t="s">
        <v>1744</v>
      </c>
      <c r="J445" t="s">
        <v>2013</v>
      </c>
      <c r="S445" t="s">
        <v>2503</v>
      </c>
    </row>
    <row r="446" spans="3:19" x14ac:dyDescent="0.4">
      <c r="C446" t="s">
        <v>3</v>
      </c>
      <c r="D446" t="s">
        <v>748</v>
      </c>
      <c r="E446" t="s">
        <v>1308</v>
      </c>
      <c r="G446" t="s">
        <v>963</v>
      </c>
      <c r="H446" t="s">
        <v>37</v>
      </c>
      <c r="S446" t="s">
        <v>2503</v>
      </c>
    </row>
    <row r="447" spans="3:19" x14ac:dyDescent="0.4">
      <c r="C447" t="s">
        <v>3</v>
      </c>
      <c r="D447" t="s">
        <v>749</v>
      </c>
      <c r="H447" t="s">
        <v>37</v>
      </c>
      <c r="S447" t="s">
        <v>2503</v>
      </c>
    </row>
    <row r="448" spans="3:19" x14ac:dyDescent="0.4">
      <c r="C448" t="s">
        <v>3</v>
      </c>
      <c r="D448" t="s">
        <v>750</v>
      </c>
      <c r="H448" t="s">
        <v>37</v>
      </c>
      <c r="S448" t="s">
        <v>2503</v>
      </c>
    </row>
    <row r="449" spans="3:19" x14ac:dyDescent="0.4">
      <c r="C449" t="s">
        <v>3</v>
      </c>
      <c r="D449" t="s">
        <v>751</v>
      </c>
      <c r="E449" t="s">
        <v>1316</v>
      </c>
      <c r="G449" t="s">
        <v>1154</v>
      </c>
      <c r="H449" t="s">
        <v>37</v>
      </c>
      <c r="I449" t="s">
        <v>1745</v>
      </c>
      <c r="K449" t="s">
        <v>2351</v>
      </c>
      <c r="M449">
        <v>966555607919</v>
      </c>
      <c r="N449" t="s">
        <v>2352</v>
      </c>
      <c r="S449" t="s">
        <v>2503</v>
      </c>
    </row>
    <row r="450" spans="3:19" x14ac:dyDescent="0.4">
      <c r="C450" t="s">
        <v>3</v>
      </c>
      <c r="D450" t="s">
        <v>752</v>
      </c>
      <c r="E450" t="s">
        <v>1317</v>
      </c>
      <c r="G450" t="s">
        <v>963</v>
      </c>
      <c r="H450" t="s">
        <v>37</v>
      </c>
      <c r="S450" t="s">
        <v>2503</v>
      </c>
    </row>
    <row r="451" spans="3:19" x14ac:dyDescent="0.4">
      <c r="C451" t="s">
        <v>3</v>
      </c>
      <c r="D451" t="s">
        <v>753</v>
      </c>
      <c r="E451" t="s">
        <v>1318</v>
      </c>
      <c r="G451" t="s">
        <v>1488</v>
      </c>
      <c r="H451" t="s">
        <v>42</v>
      </c>
      <c r="S451" t="s">
        <v>2503</v>
      </c>
    </row>
    <row r="452" spans="3:19" x14ac:dyDescent="0.4">
      <c r="C452" t="s">
        <v>3</v>
      </c>
      <c r="D452" t="s">
        <v>754</v>
      </c>
      <c r="E452" t="s">
        <v>1319</v>
      </c>
      <c r="G452" t="s">
        <v>1154</v>
      </c>
      <c r="H452" t="s">
        <v>37</v>
      </c>
      <c r="I452" t="s">
        <v>1746</v>
      </c>
      <c r="K452" t="s">
        <v>2353</v>
      </c>
      <c r="M452" t="s">
        <v>2354</v>
      </c>
      <c r="N452" t="s">
        <v>2355</v>
      </c>
      <c r="S452" t="s">
        <v>2503</v>
      </c>
    </row>
    <row r="453" spans="3:19" x14ac:dyDescent="0.4">
      <c r="C453" t="s">
        <v>3</v>
      </c>
      <c r="D453" t="s">
        <v>755</v>
      </c>
      <c r="E453" t="s">
        <v>1320</v>
      </c>
      <c r="G453" t="s">
        <v>1747</v>
      </c>
      <c r="H453" t="s">
        <v>37</v>
      </c>
      <c r="J453" t="s">
        <v>2014</v>
      </c>
      <c r="K453" t="s">
        <v>2356</v>
      </c>
      <c r="M453">
        <v>966505301524</v>
      </c>
      <c r="N453" t="s">
        <v>2357</v>
      </c>
      <c r="S453" t="s">
        <v>2503</v>
      </c>
    </row>
    <row r="454" spans="3:19" x14ac:dyDescent="0.4">
      <c r="C454" t="s">
        <v>3</v>
      </c>
      <c r="D454" t="s">
        <v>756</v>
      </c>
      <c r="E454" t="s">
        <v>1321</v>
      </c>
      <c r="G454" t="s">
        <v>1748</v>
      </c>
      <c r="H454" t="s">
        <v>37</v>
      </c>
      <c r="S454" t="s">
        <v>2503</v>
      </c>
    </row>
    <row r="455" spans="3:19" x14ac:dyDescent="0.4">
      <c r="C455" t="s">
        <v>3</v>
      </c>
      <c r="D455" t="s">
        <v>757</v>
      </c>
      <c r="E455" t="s">
        <v>1322</v>
      </c>
      <c r="G455" t="s">
        <v>963</v>
      </c>
      <c r="H455" t="s">
        <v>37</v>
      </c>
      <c r="K455" t="s">
        <v>2358</v>
      </c>
      <c r="M455" t="s">
        <v>2359</v>
      </c>
      <c r="S455" t="s">
        <v>2503</v>
      </c>
    </row>
    <row r="456" spans="3:19" x14ac:dyDescent="0.4">
      <c r="C456" t="s">
        <v>3</v>
      </c>
      <c r="D456" t="s">
        <v>758</v>
      </c>
      <c r="E456" t="s">
        <v>963</v>
      </c>
      <c r="G456" t="s">
        <v>37</v>
      </c>
      <c r="H456" t="s">
        <v>37</v>
      </c>
      <c r="S456" t="s">
        <v>2503</v>
      </c>
    </row>
    <row r="457" spans="3:19" x14ac:dyDescent="0.4">
      <c r="C457" t="s">
        <v>3</v>
      </c>
      <c r="D457" t="s">
        <v>759</v>
      </c>
      <c r="E457" t="s">
        <v>1323</v>
      </c>
      <c r="G457" t="s">
        <v>1609</v>
      </c>
      <c r="H457" t="s">
        <v>37</v>
      </c>
      <c r="K457" t="s">
        <v>2360</v>
      </c>
      <c r="M457" t="s">
        <v>2361</v>
      </c>
      <c r="N457" t="s">
        <v>2362</v>
      </c>
      <c r="S457" t="s">
        <v>2503</v>
      </c>
    </row>
    <row r="458" spans="3:19" x14ac:dyDescent="0.4">
      <c r="C458" t="s">
        <v>3</v>
      </c>
      <c r="D458" t="s">
        <v>760</v>
      </c>
      <c r="H458" t="s">
        <v>37</v>
      </c>
      <c r="I458" t="s">
        <v>1671</v>
      </c>
      <c r="S458" t="s">
        <v>2503</v>
      </c>
    </row>
    <row r="459" spans="3:19" x14ac:dyDescent="0.4">
      <c r="C459" t="s">
        <v>3</v>
      </c>
      <c r="D459" t="s">
        <v>761</v>
      </c>
      <c r="E459" t="s">
        <v>1324</v>
      </c>
      <c r="G459" t="s">
        <v>963</v>
      </c>
      <c r="H459" t="s">
        <v>37</v>
      </c>
      <c r="I459" t="s">
        <v>1749</v>
      </c>
      <c r="J459" t="s">
        <v>2015</v>
      </c>
      <c r="K459" t="s">
        <v>2363</v>
      </c>
      <c r="M459" t="s">
        <v>2364</v>
      </c>
      <c r="N459" t="s">
        <v>2365</v>
      </c>
      <c r="S459" t="s">
        <v>2503</v>
      </c>
    </row>
    <row r="460" spans="3:19" x14ac:dyDescent="0.4">
      <c r="C460" t="s">
        <v>3</v>
      </c>
      <c r="D460" t="s">
        <v>762</v>
      </c>
      <c r="E460" t="s">
        <v>1325</v>
      </c>
      <c r="G460" t="s">
        <v>963</v>
      </c>
      <c r="H460" t="s">
        <v>37</v>
      </c>
      <c r="I460" t="s">
        <v>1671</v>
      </c>
      <c r="J460" t="s">
        <v>2016</v>
      </c>
      <c r="K460" t="s">
        <v>2366</v>
      </c>
      <c r="M460">
        <v>966553035037</v>
      </c>
      <c r="N460" t="s">
        <v>2367</v>
      </c>
      <c r="S460" t="s">
        <v>2503</v>
      </c>
    </row>
    <row r="461" spans="3:19" x14ac:dyDescent="0.4">
      <c r="C461" t="s">
        <v>3</v>
      </c>
      <c r="D461" t="s">
        <v>763</v>
      </c>
      <c r="H461" t="s">
        <v>37</v>
      </c>
      <c r="K461" t="s">
        <v>2368</v>
      </c>
      <c r="M461">
        <v>966537687311</v>
      </c>
      <c r="N461" t="s">
        <v>2369</v>
      </c>
      <c r="S461" t="s">
        <v>2503</v>
      </c>
    </row>
    <row r="462" spans="3:19" x14ac:dyDescent="0.4">
      <c r="C462" t="s">
        <v>3</v>
      </c>
      <c r="D462" t="s">
        <v>764</v>
      </c>
      <c r="E462" t="s">
        <v>1326</v>
      </c>
      <c r="G462" t="s">
        <v>963</v>
      </c>
      <c r="H462" t="s">
        <v>37</v>
      </c>
      <c r="I462" t="s">
        <v>1750</v>
      </c>
      <c r="J462" t="s">
        <v>2017</v>
      </c>
      <c r="N462" t="s">
        <v>2370</v>
      </c>
      <c r="S462" t="s">
        <v>2503</v>
      </c>
    </row>
    <row r="463" spans="3:19" x14ac:dyDescent="0.4">
      <c r="C463" t="s">
        <v>5</v>
      </c>
      <c r="D463" t="s">
        <v>765</v>
      </c>
      <c r="E463" t="s">
        <v>1327</v>
      </c>
      <c r="G463" t="s">
        <v>963</v>
      </c>
      <c r="H463" t="s">
        <v>37</v>
      </c>
      <c r="N463" t="s">
        <v>2371</v>
      </c>
      <c r="S463" t="s">
        <v>2503</v>
      </c>
    </row>
    <row r="464" spans="3:19" x14ac:dyDescent="0.4">
      <c r="C464" t="s">
        <v>3</v>
      </c>
      <c r="D464" t="s">
        <v>766</v>
      </c>
      <c r="E464" t="s">
        <v>1328</v>
      </c>
      <c r="G464" t="s">
        <v>1417</v>
      </c>
      <c r="H464" t="s">
        <v>35</v>
      </c>
      <c r="I464" t="s">
        <v>1751</v>
      </c>
      <c r="J464" t="s">
        <v>2018</v>
      </c>
      <c r="S464" t="s">
        <v>2503</v>
      </c>
    </row>
    <row r="465" spans="3:22" x14ac:dyDescent="0.4">
      <c r="C465" t="s">
        <v>3</v>
      </c>
      <c r="D465" t="s">
        <v>767</v>
      </c>
      <c r="E465" t="s">
        <v>1329</v>
      </c>
      <c r="G465" t="s">
        <v>963</v>
      </c>
      <c r="H465" t="s">
        <v>37</v>
      </c>
      <c r="I465" t="s">
        <v>1752</v>
      </c>
      <c r="J465" t="s">
        <v>2019</v>
      </c>
      <c r="N465" t="s">
        <v>2372</v>
      </c>
      <c r="S465" t="s">
        <v>2503</v>
      </c>
    </row>
    <row r="466" spans="3:22" x14ac:dyDescent="0.4">
      <c r="C466" t="s">
        <v>3</v>
      </c>
      <c r="D466" t="s">
        <v>768</v>
      </c>
      <c r="E466" t="s">
        <v>1330</v>
      </c>
      <c r="G466" t="s">
        <v>1423</v>
      </c>
      <c r="H466" t="s">
        <v>35</v>
      </c>
      <c r="K466" t="s">
        <v>2373</v>
      </c>
      <c r="N466" t="s">
        <v>2374</v>
      </c>
      <c r="S466" t="s">
        <v>2503</v>
      </c>
    </row>
    <row r="467" spans="3:22" x14ac:dyDescent="0.4">
      <c r="C467" t="s">
        <v>3</v>
      </c>
      <c r="D467" t="s">
        <v>769</v>
      </c>
      <c r="E467" t="s">
        <v>1331</v>
      </c>
      <c r="G467" t="s">
        <v>1004</v>
      </c>
      <c r="H467" t="s">
        <v>43</v>
      </c>
      <c r="I467" t="s">
        <v>1753</v>
      </c>
      <c r="J467" t="s">
        <v>2020</v>
      </c>
      <c r="N467" t="s">
        <v>2375</v>
      </c>
      <c r="S467" t="s">
        <v>2503</v>
      </c>
    </row>
    <row r="468" spans="3:22" x14ac:dyDescent="0.4">
      <c r="C468" t="s">
        <v>3</v>
      </c>
      <c r="D468" t="s">
        <v>770</v>
      </c>
      <c r="E468" t="s">
        <v>1332</v>
      </c>
      <c r="G468" t="s">
        <v>963</v>
      </c>
      <c r="H468" t="s">
        <v>37</v>
      </c>
      <c r="I468" t="s">
        <v>1754</v>
      </c>
      <c r="K468" t="s">
        <v>2376</v>
      </c>
      <c r="M468" t="s">
        <v>2377</v>
      </c>
      <c r="N468" t="s">
        <v>2378</v>
      </c>
      <c r="S468" t="s">
        <v>2503</v>
      </c>
    </row>
    <row r="469" spans="3:22" x14ac:dyDescent="0.4">
      <c r="C469" t="s">
        <v>3</v>
      </c>
      <c r="D469" t="s">
        <v>771</v>
      </c>
      <c r="E469" t="s">
        <v>1333</v>
      </c>
      <c r="G469" t="s">
        <v>963</v>
      </c>
      <c r="H469" t="s">
        <v>37</v>
      </c>
      <c r="I469" t="s">
        <v>1755</v>
      </c>
      <c r="J469" t="s">
        <v>2021</v>
      </c>
      <c r="K469" t="s">
        <v>2379</v>
      </c>
      <c r="M469">
        <v>966559936028</v>
      </c>
      <c r="N469" t="s">
        <v>2380</v>
      </c>
      <c r="S469" t="s">
        <v>2503</v>
      </c>
    </row>
    <row r="470" spans="3:22" x14ac:dyDescent="0.4">
      <c r="C470" t="s">
        <v>3</v>
      </c>
      <c r="D470" t="s">
        <v>772</v>
      </c>
      <c r="E470" t="s">
        <v>1334</v>
      </c>
      <c r="G470" t="s">
        <v>963</v>
      </c>
      <c r="H470" t="s">
        <v>37</v>
      </c>
      <c r="I470" t="s">
        <v>1756</v>
      </c>
      <c r="J470" t="s">
        <v>2022</v>
      </c>
      <c r="K470" t="s">
        <v>2381</v>
      </c>
      <c r="M470">
        <v>966546166661</v>
      </c>
      <c r="N470" t="s">
        <v>2382</v>
      </c>
      <c r="S470" t="s">
        <v>2503</v>
      </c>
    </row>
    <row r="471" spans="3:22" x14ac:dyDescent="0.4">
      <c r="C471" t="s">
        <v>3</v>
      </c>
      <c r="D471" t="s">
        <v>773</v>
      </c>
      <c r="E471" t="s">
        <v>1335</v>
      </c>
      <c r="G471" t="s">
        <v>1757</v>
      </c>
      <c r="H471" t="s">
        <v>37</v>
      </c>
      <c r="I471" t="s">
        <v>1758</v>
      </c>
      <c r="J471" t="s">
        <v>2023</v>
      </c>
      <c r="K471" t="s">
        <v>2383</v>
      </c>
      <c r="M471">
        <v>966502452327</v>
      </c>
      <c r="N471" t="s">
        <v>2384</v>
      </c>
      <c r="S471" t="s">
        <v>2503</v>
      </c>
    </row>
    <row r="472" spans="3:22" x14ac:dyDescent="0.4">
      <c r="C472" t="s">
        <v>3</v>
      </c>
      <c r="D472" t="s">
        <v>774</v>
      </c>
      <c r="E472" t="s">
        <v>1336</v>
      </c>
      <c r="G472" t="s">
        <v>963</v>
      </c>
      <c r="H472" t="s">
        <v>37</v>
      </c>
      <c r="I472" t="s">
        <v>1759</v>
      </c>
      <c r="J472" t="s">
        <v>2024</v>
      </c>
      <c r="K472" t="s">
        <v>2385</v>
      </c>
      <c r="M472">
        <v>966544441340</v>
      </c>
      <c r="N472" t="s">
        <v>2386</v>
      </c>
      <c r="S472" t="s">
        <v>2503</v>
      </c>
    </row>
    <row r="473" spans="3:22" x14ac:dyDescent="0.4">
      <c r="C473" t="s">
        <v>3</v>
      </c>
      <c r="D473" t="s">
        <v>775</v>
      </c>
      <c r="E473" t="s">
        <v>1337</v>
      </c>
      <c r="G473" t="s">
        <v>963</v>
      </c>
      <c r="H473" t="s">
        <v>37</v>
      </c>
      <c r="I473" t="s">
        <v>1760</v>
      </c>
      <c r="K473" t="s">
        <v>2387</v>
      </c>
      <c r="M473" t="s">
        <v>2388</v>
      </c>
      <c r="N473" t="s">
        <v>2389</v>
      </c>
      <c r="S473" t="s">
        <v>2503</v>
      </c>
    </row>
    <row r="474" spans="3:22" x14ac:dyDescent="0.4">
      <c r="C474" t="s">
        <v>3</v>
      </c>
      <c r="D474" t="s">
        <v>776</v>
      </c>
      <c r="E474" t="s">
        <v>1338</v>
      </c>
      <c r="G474" t="s">
        <v>963</v>
      </c>
      <c r="H474" t="s">
        <v>37</v>
      </c>
      <c r="I474" t="s">
        <v>1761</v>
      </c>
      <c r="J474" t="s">
        <v>2025</v>
      </c>
      <c r="M474">
        <v>966504169366</v>
      </c>
      <c r="N474" t="s">
        <v>2390</v>
      </c>
      <c r="S474" t="s">
        <v>2503</v>
      </c>
    </row>
    <row r="475" spans="3:22" x14ac:dyDescent="0.4">
      <c r="C475" t="s">
        <v>3</v>
      </c>
      <c r="D475" t="s">
        <v>777</v>
      </c>
      <c r="E475" t="s">
        <v>1339</v>
      </c>
      <c r="G475" t="s">
        <v>963</v>
      </c>
      <c r="H475" t="s">
        <v>37</v>
      </c>
      <c r="I475" t="s">
        <v>1762</v>
      </c>
      <c r="J475" t="s">
        <v>2026</v>
      </c>
      <c r="K475" t="s">
        <v>2391</v>
      </c>
      <c r="M475">
        <v>966550021144</v>
      </c>
      <c r="S475" t="s">
        <v>2503</v>
      </c>
    </row>
    <row r="476" spans="3:22" x14ac:dyDescent="0.4">
      <c r="C476" t="s">
        <v>4</v>
      </c>
      <c r="D476" t="s">
        <v>778</v>
      </c>
      <c r="E476" t="s">
        <v>1340</v>
      </c>
      <c r="G476" t="s">
        <v>1423</v>
      </c>
      <c r="H476" t="s">
        <v>35</v>
      </c>
      <c r="I476" t="s">
        <v>1763</v>
      </c>
      <c r="J476">
        <v>0</v>
      </c>
      <c r="K476" t="s">
        <v>2392</v>
      </c>
      <c r="L476" t="s">
        <v>2393</v>
      </c>
      <c r="M476" t="s">
        <v>2394</v>
      </c>
      <c r="N476" t="s">
        <v>2395</v>
      </c>
      <c r="S476" t="s">
        <v>2504</v>
      </c>
      <c r="V476" t="s">
        <v>2570</v>
      </c>
    </row>
    <row r="477" spans="3:22" x14ac:dyDescent="0.4">
      <c r="C477" t="s">
        <v>4</v>
      </c>
      <c r="D477" t="s">
        <v>779</v>
      </c>
      <c r="E477" t="s">
        <v>1341</v>
      </c>
      <c r="G477" t="s">
        <v>1488</v>
      </c>
      <c r="H477" t="s">
        <v>42</v>
      </c>
      <c r="I477" t="s">
        <v>1764</v>
      </c>
      <c r="K477" t="s">
        <v>2396</v>
      </c>
      <c r="L477" t="s">
        <v>2397</v>
      </c>
      <c r="M477" t="s">
        <v>2398</v>
      </c>
      <c r="N477" t="s">
        <v>2399</v>
      </c>
      <c r="S477" t="s">
        <v>2504</v>
      </c>
    </row>
    <row r="478" spans="3:22" x14ac:dyDescent="0.4">
      <c r="C478" t="s">
        <v>3</v>
      </c>
      <c r="D478" t="s">
        <v>780</v>
      </c>
      <c r="E478" t="s">
        <v>1342</v>
      </c>
      <c r="G478" t="s">
        <v>1154</v>
      </c>
      <c r="H478" t="s">
        <v>37</v>
      </c>
      <c r="I478" t="s">
        <v>1671</v>
      </c>
      <c r="J478" t="s">
        <v>2027</v>
      </c>
      <c r="K478" t="s">
        <v>2400</v>
      </c>
      <c r="M478" t="s">
        <v>2401</v>
      </c>
      <c r="N478" t="s">
        <v>2402</v>
      </c>
      <c r="S478" t="s">
        <v>2503</v>
      </c>
    </row>
    <row r="479" spans="3:22" x14ac:dyDescent="0.4">
      <c r="C479" t="s">
        <v>3</v>
      </c>
      <c r="D479" t="s">
        <v>781</v>
      </c>
      <c r="E479" t="s">
        <v>1343</v>
      </c>
      <c r="G479" t="s">
        <v>1757</v>
      </c>
      <c r="H479" t="s">
        <v>37</v>
      </c>
      <c r="I479" t="s">
        <v>1765</v>
      </c>
      <c r="J479" t="s">
        <v>2028</v>
      </c>
      <c r="K479" t="s">
        <v>2403</v>
      </c>
      <c r="M479">
        <v>966536715853</v>
      </c>
      <c r="N479" t="s">
        <v>2404</v>
      </c>
      <c r="S479" t="s">
        <v>2503</v>
      </c>
    </row>
    <row r="480" spans="3:22" x14ac:dyDescent="0.4">
      <c r="C480" t="s">
        <v>3</v>
      </c>
      <c r="D480" t="s">
        <v>782</v>
      </c>
      <c r="E480" t="s">
        <v>1344</v>
      </c>
      <c r="G480" t="s">
        <v>1766</v>
      </c>
      <c r="H480" t="s">
        <v>37</v>
      </c>
      <c r="I480" t="s">
        <v>1767</v>
      </c>
      <c r="J480" t="s">
        <v>2029</v>
      </c>
      <c r="N480" t="s">
        <v>2405</v>
      </c>
      <c r="S480" t="s">
        <v>2503</v>
      </c>
    </row>
    <row r="481" spans="3:22" x14ac:dyDescent="0.4">
      <c r="C481" t="s">
        <v>3</v>
      </c>
      <c r="D481" t="s">
        <v>783</v>
      </c>
      <c r="H481" t="s">
        <v>37</v>
      </c>
      <c r="S481" t="s">
        <v>2503</v>
      </c>
    </row>
    <row r="482" spans="3:22" x14ac:dyDescent="0.4">
      <c r="C482" t="s">
        <v>3</v>
      </c>
      <c r="D482" t="s">
        <v>784</v>
      </c>
      <c r="E482" t="s">
        <v>1345</v>
      </c>
      <c r="H482" t="s">
        <v>37</v>
      </c>
      <c r="I482" t="s">
        <v>1768</v>
      </c>
      <c r="J482">
        <v>8001222224</v>
      </c>
      <c r="N482" t="s">
        <v>2406</v>
      </c>
      <c r="S482" t="s">
        <v>2503</v>
      </c>
    </row>
    <row r="483" spans="3:22" x14ac:dyDescent="0.4">
      <c r="C483" t="s">
        <v>3</v>
      </c>
      <c r="D483" t="s">
        <v>785</v>
      </c>
      <c r="E483" t="s">
        <v>1346</v>
      </c>
      <c r="G483" t="s">
        <v>963</v>
      </c>
      <c r="H483" t="s">
        <v>37</v>
      </c>
      <c r="I483" t="s">
        <v>1769</v>
      </c>
      <c r="J483" t="s">
        <v>2030</v>
      </c>
      <c r="K483" t="s">
        <v>2407</v>
      </c>
      <c r="M483">
        <v>966566669429</v>
      </c>
      <c r="N483" t="s">
        <v>2408</v>
      </c>
      <c r="S483" t="s">
        <v>2503</v>
      </c>
    </row>
    <row r="484" spans="3:22" x14ac:dyDescent="0.4">
      <c r="C484" t="s">
        <v>3</v>
      </c>
      <c r="D484" t="s">
        <v>786</v>
      </c>
      <c r="E484" t="s">
        <v>1347</v>
      </c>
      <c r="G484" t="s">
        <v>963</v>
      </c>
      <c r="H484" t="s">
        <v>37</v>
      </c>
      <c r="I484" t="s">
        <v>1770</v>
      </c>
      <c r="J484" t="s">
        <v>2031</v>
      </c>
      <c r="K484" t="s">
        <v>2409</v>
      </c>
      <c r="M484">
        <v>966545516998</v>
      </c>
      <c r="N484" t="s">
        <v>2410</v>
      </c>
      <c r="S484" t="s">
        <v>2503</v>
      </c>
    </row>
    <row r="485" spans="3:22" x14ac:dyDescent="0.4">
      <c r="C485" t="s">
        <v>3</v>
      </c>
      <c r="D485" t="s">
        <v>787</v>
      </c>
      <c r="E485" t="s">
        <v>1348</v>
      </c>
      <c r="G485" t="s">
        <v>963</v>
      </c>
      <c r="H485" t="s">
        <v>37</v>
      </c>
      <c r="I485" t="s">
        <v>1771</v>
      </c>
      <c r="J485" t="s">
        <v>2032</v>
      </c>
      <c r="N485" t="s">
        <v>2411</v>
      </c>
      <c r="S485" t="s">
        <v>2503</v>
      </c>
    </row>
    <row r="486" spans="3:22" x14ac:dyDescent="0.4">
      <c r="C486" t="s">
        <v>3</v>
      </c>
      <c r="D486" t="s">
        <v>788</v>
      </c>
      <c r="E486" t="s">
        <v>1349</v>
      </c>
      <c r="G486" t="s">
        <v>1772</v>
      </c>
      <c r="H486" t="s">
        <v>37</v>
      </c>
      <c r="I486" t="s">
        <v>1773</v>
      </c>
      <c r="K486" t="s">
        <v>2412</v>
      </c>
      <c r="M486">
        <v>966560031616</v>
      </c>
      <c r="S486" t="s">
        <v>2503</v>
      </c>
      <c r="V486" t="s">
        <v>2571</v>
      </c>
    </row>
    <row r="487" spans="3:22" x14ac:dyDescent="0.4">
      <c r="C487" t="s">
        <v>3</v>
      </c>
      <c r="D487" t="s">
        <v>789</v>
      </c>
      <c r="E487" t="s">
        <v>1350</v>
      </c>
      <c r="G487" t="s">
        <v>963</v>
      </c>
      <c r="H487" t="s">
        <v>37</v>
      </c>
      <c r="I487" t="s">
        <v>1774</v>
      </c>
      <c r="J487" t="s">
        <v>2033</v>
      </c>
      <c r="N487" t="s">
        <v>2413</v>
      </c>
      <c r="S487" t="s">
        <v>2503</v>
      </c>
    </row>
    <row r="488" spans="3:22" x14ac:dyDescent="0.4">
      <c r="C488" t="s">
        <v>3</v>
      </c>
      <c r="D488" t="s">
        <v>790</v>
      </c>
      <c r="E488" t="s">
        <v>1351</v>
      </c>
      <c r="G488" t="s">
        <v>963</v>
      </c>
      <c r="H488" t="s">
        <v>37</v>
      </c>
      <c r="I488" t="s">
        <v>1775</v>
      </c>
      <c r="J488" t="s">
        <v>2034</v>
      </c>
      <c r="S488" t="s">
        <v>2503</v>
      </c>
    </row>
    <row r="489" spans="3:22" x14ac:dyDescent="0.4">
      <c r="C489" t="s">
        <v>3</v>
      </c>
      <c r="D489" t="s">
        <v>791</v>
      </c>
      <c r="E489" t="s">
        <v>1352</v>
      </c>
      <c r="G489" t="s">
        <v>963</v>
      </c>
      <c r="H489" t="s">
        <v>37</v>
      </c>
      <c r="I489" t="s">
        <v>1776</v>
      </c>
      <c r="J489" t="s">
        <v>2035</v>
      </c>
      <c r="S489" t="s">
        <v>2503</v>
      </c>
    </row>
    <row r="490" spans="3:22" x14ac:dyDescent="0.4">
      <c r="C490" t="s">
        <v>3</v>
      </c>
      <c r="D490" t="s">
        <v>792</v>
      </c>
      <c r="E490" t="s">
        <v>1353</v>
      </c>
      <c r="G490" t="s">
        <v>1489</v>
      </c>
      <c r="H490" t="s">
        <v>37</v>
      </c>
      <c r="I490" t="s">
        <v>1777</v>
      </c>
      <c r="J490" t="s">
        <v>2036</v>
      </c>
      <c r="K490" t="s">
        <v>2414</v>
      </c>
      <c r="M490">
        <v>966593331999</v>
      </c>
      <c r="N490" t="s">
        <v>2415</v>
      </c>
      <c r="S490" t="s">
        <v>2503</v>
      </c>
    </row>
    <row r="491" spans="3:22" x14ac:dyDescent="0.4">
      <c r="C491" t="s">
        <v>3</v>
      </c>
      <c r="D491" t="s">
        <v>793</v>
      </c>
      <c r="E491" t="s">
        <v>1354</v>
      </c>
      <c r="G491" t="s">
        <v>1778</v>
      </c>
      <c r="H491" t="s">
        <v>37</v>
      </c>
      <c r="I491" t="s">
        <v>1779</v>
      </c>
      <c r="J491" t="s">
        <v>2037</v>
      </c>
      <c r="K491" t="s">
        <v>2416</v>
      </c>
      <c r="M491">
        <v>966506994514</v>
      </c>
      <c r="N491" t="s">
        <v>2417</v>
      </c>
      <c r="S491" t="s">
        <v>2503</v>
      </c>
    </row>
    <row r="492" spans="3:22" x14ac:dyDescent="0.4">
      <c r="C492" t="s">
        <v>3</v>
      </c>
      <c r="D492" t="s">
        <v>794</v>
      </c>
      <c r="E492" t="s">
        <v>1355</v>
      </c>
      <c r="G492" t="s">
        <v>963</v>
      </c>
      <c r="H492" t="s">
        <v>37</v>
      </c>
      <c r="I492" t="s">
        <v>1780</v>
      </c>
      <c r="J492" t="s">
        <v>2038</v>
      </c>
      <c r="K492" t="s">
        <v>2418</v>
      </c>
      <c r="M492" t="s">
        <v>2419</v>
      </c>
      <c r="N492" t="s">
        <v>2420</v>
      </c>
      <c r="S492" t="s">
        <v>2503</v>
      </c>
    </row>
    <row r="493" spans="3:22" x14ac:dyDescent="0.4">
      <c r="C493" t="s">
        <v>3</v>
      </c>
      <c r="D493" t="s">
        <v>795</v>
      </c>
      <c r="E493" t="s">
        <v>1356</v>
      </c>
      <c r="G493" t="s">
        <v>1781</v>
      </c>
      <c r="H493" t="s">
        <v>37</v>
      </c>
      <c r="S493" t="s">
        <v>2503</v>
      </c>
    </row>
    <row r="494" spans="3:22" x14ac:dyDescent="0.4">
      <c r="C494" t="s">
        <v>3</v>
      </c>
      <c r="D494" t="s">
        <v>796</v>
      </c>
      <c r="E494" t="s">
        <v>1357</v>
      </c>
      <c r="G494" t="s">
        <v>1154</v>
      </c>
      <c r="H494" t="s">
        <v>37</v>
      </c>
      <c r="I494" t="s">
        <v>1782</v>
      </c>
      <c r="J494" t="s">
        <v>2039</v>
      </c>
      <c r="K494" t="s">
        <v>2421</v>
      </c>
      <c r="M494">
        <v>966509802979</v>
      </c>
      <c r="N494" t="s">
        <v>2422</v>
      </c>
      <c r="S494" t="s">
        <v>2503</v>
      </c>
    </row>
    <row r="495" spans="3:22" x14ac:dyDescent="0.4">
      <c r="C495" t="s">
        <v>3</v>
      </c>
      <c r="D495" t="s">
        <v>797</v>
      </c>
      <c r="E495" t="s">
        <v>1358</v>
      </c>
      <c r="G495" t="s">
        <v>963</v>
      </c>
      <c r="H495" t="s">
        <v>37</v>
      </c>
      <c r="I495" t="s">
        <v>1783</v>
      </c>
      <c r="J495" t="s">
        <v>2040</v>
      </c>
      <c r="N495" t="s">
        <v>2423</v>
      </c>
      <c r="S495" t="s">
        <v>2503</v>
      </c>
    </row>
    <row r="496" spans="3:22" x14ac:dyDescent="0.4">
      <c r="C496" t="s">
        <v>3</v>
      </c>
      <c r="D496" t="s">
        <v>798</v>
      </c>
      <c r="E496" t="s">
        <v>1359</v>
      </c>
      <c r="G496" t="s">
        <v>1609</v>
      </c>
      <c r="H496" t="s">
        <v>37</v>
      </c>
      <c r="I496" t="s">
        <v>1784</v>
      </c>
      <c r="J496" t="s">
        <v>2041</v>
      </c>
      <c r="K496" t="s">
        <v>2424</v>
      </c>
      <c r="M496">
        <v>966553220786</v>
      </c>
      <c r="N496" t="s">
        <v>2425</v>
      </c>
      <c r="S496" t="s">
        <v>2503</v>
      </c>
    </row>
    <row r="497" spans="3:25" x14ac:dyDescent="0.4">
      <c r="C497" t="s">
        <v>3</v>
      </c>
      <c r="D497" t="s">
        <v>799</v>
      </c>
      <c r="E497" t="s">
        <v>1360</v>
      </c>
      <c r="G497" t="s">
        <v>963</v>
      </c>
      <c r="H497" t="s">
        <v>37</v>
      </c>
      <c r="I497" t="s">
        <v>1785</v>
      </c>
      <c r="J497" t="s">
        <v>2042</v>
      </c>
      <c r="K497" t="s">
        <v>2426</v>
      </c>
      <c r="M497">
        <v>966546379621</v>
      </c>
      <c r="N497" t="s">
        <v>2427</v>
      </c>
      <c r="S497" t="s">
        <v>2503</v>
      </c>
    </row>
    <row r="498" spans="3:25" x14ac:dyDescent="0.4">
      <c r="C498" t="s">
        <v>3</v>
      </c>
      <c r="D498" t="s">
        <v>800</v>
      </c>
      <c r="E498" t="s">
        <v>1361</v>
      </c>
      <c r="G498" t="s">
        <v>963</v>
      </c>
      <c r="H498" t="s">
        <v>37</v>
      </c>
      <c r="I498" t="s">
        <v>1786</v>
      </c>
      <c r="J498">
        <v>8003015555</v>
      </c>
      <c r="K498" t="s">
        <v>2428</v>
      </c>
      <c r="M498">
        <v>966566175336</v>
      </c>
      <c r="N498" t="s">
        <v>2429</v>
      </c>
      <c r="S498" t="s">
        <v>2503</v>
      </c>
    </row>
    <row r="499" spans="3:25" x14ac:dyDescent="0.4">
      <c r="C499" t="s">
        <v>3</v>
      </c>
      <c r="D499" t="s">
        <v>801</v>
      </c>
      <c r="E499" t="s">
        <v>1235</v>
      </c>
      <c r="G499" t="s">
        <v>963</v>
      </c>
      <c r="H499" t="s">
        <v>37</v>
      </c>
      <c r="I499" t="s">
        <v>1787</v>
      </c>
      <c r="J499" t="s">
        <v>2043</v>
      </c>
      <c r="K499" t="s">
        <v>2430</v>
      </c>
      <c r="M499">
        <v>966580716151</v>
      </c>
      <c r="N499" t="s">
        <v>2431</v>
      </c>
      <c r="S499" t="s">
        <v>2503</v>
      </c>
    </row>
    <row r="500" spans="3:25" x14ac:dyDescent="0.4">
      <c r="C500" t="s">
        <v>3</v>
      </c>
      <c r="D500" t="s">
        <v>802</v>
      </c>
      <c r="E500" t="s">
        <v>1362</v>
      </c>
      <c r="G500" t="s">
        <v>940</v>
      </c>
      <c r="H500" t="s">
        <v>40</v>
      </c>
      <c r="I500" t="s">
        <v>1788</v>
      </c>
      <c r="J500" t="s">
        <v>2044</v>
      </c>
      <c r="N500" t="s">
        <v>2432</v>
      </c>
      <c r="S500" t="s">
        <v>2503</v>
      </c>
    </row>
    <row r="501" spans="3:25" x14ac:dyDescent="0.4">
      <c r="C501" t="s">
        <v>3</v>
      </c>
      <c r="D501" t="s">
        <v>803</v>
      </c>
      <c r="E501" t="s">
        <v>1363</v>
      </c>
      <c r="G501" t="s">
        <v>940</v>
      </c>
      <c r="H501" t="s">
        <v>40</v>
      </c>
      <c r="N501" t="s">
        <v>2433</v>
      </c>
      <c r="S501" t="s">
        <v>2503</v>
      </c>
    </row>
    <row r="502" spans="3:25" x14ac:dyDescent="0.4">
      <c r="C502" t="s">
        <v>3</v>
      </c>
      <c r="D502" t="s">
        <v>804</v>
      </c>
      <c r="E502" t="s">
        <v>1364</v>
      </c>
      <c r="G502" t="s">
        <v>1488</v>
      </c>
      <c r="H502" t="s">
        <v>42</v>
      </c>
      <c r="I502" t="s">
        <v>1789</v>
      </c>
      <c r="N502" t="s">
        <v>2434</v>
      </c>
      <c r="S502" t="s">
        <v>2503</v>
      </c>
    </row>
    <row r="503" spans="3:25" x14ac:dyDescent="0.4">
      <c r="C503" t="s">
        <v>3</v>
      </c>
      <c r="D503" t="s">
        <v>805</v>
      </c>
      <c r="E503" t="s">
        <v>1365</v>
      </c>
      <c r="G503" t="s">
        <v>1488</v>
      </c>
      <c r="H503" t="s">
        <v>42</v>
      </c>
      <c r="I503" t="s">
        <v>1790</v>
      </c>
      <c r="K503" t="s">
        <v>2435</v>
      </c>
      <c r="N503" t="s">
        <v>2436</v>
      </c>
      <c r="S503" t="s">
        <v>2503</v>
      </c>
    </row>
    <row r="504" spans="3:25" x14ac:dyDescent="0.4">
      <c r="C504" t="s">
        <v>4</v>
      </c>
      <c r="D504" t="s">
        <v>806</v>
      </c>
      <c r="E504" t="s">
        <v>1366</v>
      </c>
      <c r="G504" t="s">
        <v>963</v>
      </c>
      <c r="H504" t="s">
        <v>37</v>
      </c>
      <c r="I504" t="s">
        <v>1791</v>
      </c>
      <c r="K504" t="s">
        <v>2437</v>
      </c>
      <c r="L504" t="s">
        <v>2438</v>
      </c>
      <c r="M504" t="s">
        <v>2439</v>
      </c>
      <c r="N504" t="s">
        <v>2440</v>
      </c>
      <c r="S504" t="s">
        <v>2504</v>
      </c>
    </row>
    <row r="505" spans="3:25" x14ac:dyDescent="0.4">
      <c r="C505" t="s">
        <v>3</v>
      </c>
      <c r="D505" t="s">
        <v>807</v>
      </c>
      <c r="E505" t="s">
        <v>1367</v>
      </c>
      <c r="H505" t="s">
        <v>44</v>
      </c>
      <c r="I505" t="s">
        <v>1792</v>
      </c>
      <c r="J505" t="s">
        <v>2045</v>
      </c>
      <c r="K505" t="s">
        <v>2441</v>
      </c>
      <c r="M505">
        <v>97333011419</v>
      </c>
      <c r="N505" t="s">
        <v>2442</v>
      </c>
      <c r="S505" t="s">
        <v>2503</v>
      </c>
    </row>
    <row r="506" spans="3:25" x14ac:dyDescent="0.4">
      <c r="C506" t="s">
        <v>3</v>
      </c>
      <c r="D506" t="s">
        <v>808</v>
      </c>
      <c r="E506" t="s">
        <v>1368</v>
      </c>
      <c r="G506" t="s">
        <v>1793</v>
      </c>
      <c r="H506" t="s">
        <v>44</v>
      </c>
      <c r="I506" t="s">
        <v>1794</v>
      </c>
      <c r="K506" t="s">
        <v>2443</v>
      </c>
      <c r="M506" t="s">
        <v>2444</v>
      </c>
      <c r="N506" t="s">
        <v>2445</v>
      </c>
      <c r="S506" t="s">
        <v>2503</v>
      </c>
    </row>
    <row r="507" spans="3:25" x14ac:dyDescent="0.4">
      <c r="C507" t="s">
        <v>4</v>
      </c>
      <c r="D507" t="s">
        <v>809</v>
      </c>
      <c r="E507" t="s">
        <v>1369</v>
      </c>
      <c r="G507" t="s">
        <v>1417</v>
      </c>
      <c r="H507" t="s">
        <v>35</v>
      </c>
      <c r="I507" t="s">
        <v>1795</v>
      </c>
      <c r="J507" t="s">
        <v>2046</v>
      </c>
      <c r="K507" t="s">
        <v>2446</v>
      </c>
      <c r="L507" t="s">
        <v>2192</v>
      </c>
      <c r="N507" t="s">
        <v>2447</v>
      </c>
      <c r="S507" t="s">
        <v>2505</v>
      </c>
      <c r="U507" s="91">
        <v>45963</v>
      </c>
      <c r="V507" t="s">
        <v>2572</v>
      </c>
      <c r="W507" t="s">
        <v>2597</v>
      </c>
      <c r="X507" s="4">
        <v>350000</v>
      </c>
      <c r="Y507" t="s">
        <v>2595</v>
      </c>
    </row>
    <row r="508" spans="3:25" x14ac:dyDescent="0.4">
      <c r="C508" t="s">
        <v>5</v>
      </c>
      <c r="D508" t="s">
        <v>810</v>
      </c>
      <c r="E508" t="s">
        <v>1370</v>
      </c>
      <c r="G508" t="s">
        <v>1796</v>
      </c>
      <c r="H508" t="s">
        <v>1797</v>
      </c>
      <c r="S508" t="s">
        <v>2503</v>
      </c>
    </row>
    <row r="509" spans="3:25" x14ac:dyDescent="0.4">
      <c r="C509" t="s">
        <v>4</v>
      </c>
      <c r="D509" t="s">
        <v>811</v>
      </c>
      <c r="E509" t="s">
        <v>1371</v>
      </c>
      <c r="G509" t="s">
        <v>963</v>
      </c>
      <c r="H509" t="s">
        <v>37</v>
      </c>
      <c r="I509" t="s">
        <v>1798</v>
      </c>
      <c r="J509" t="s">
        <v>2047</v>
      </c>
      <c r="K509" t="s">
        <v>2448</v>
      </c>
      <c r="L509" t="s">
        <v>2449</v>
      </c>
      <c r="M509" t="s">
        <v>2450</v>
      </c>
      <c r="N509" t="s">
        <v>2451</v>
      </c>
      <c r="S509" t="s">
        <v>2503</v>
      </c>
      <c r="U509" s="91">
        <v>45981</v>
      </c>
      <c r="V509" t="s">
        <v>2573</v>
      </c>
      <c r="W509" t="s">
        <v>2600</v>
      </c>
      <c r="X509" s="4">
        <v>300000</v>
      </c>
      <c r="Y509" t="s">
        <v>29</v>
      </c>
    </row>
    <row r="510" spans="3:25" x14ac:dyDescent="0.4">
      <c r="C510" t="s">
        <v>4</v>
      </c>
      <c r="D510" t="s">
        <v>812</v>
      </c>
      <c r="E510" t="s">
        <v>1372</v>
      </c>
      <c r="G510" t="s">
        <v>1417</v>
      </c>
      <c r="H510" t="s">
        <v>35</v>
      </c>
      <c r="I510" t="s">
        <v>1799</v>
      </c>
      <c r="S510" t="s">
        <v>2505</v>
      </c>
      <c r="V510" t="s">
        <v>2574</v>
      </c>
      <c r="X510" s="4">
        <v>500000</v>
      </c>
      <c r="Y510" t="s">
        <v>2595</v>
      </c>
    </row>
    <row r="511" spans="3:25" x14ac:dyDescent="0.4">
      <c r="C511" t="s">
        <v>4</v>
      </c>
      <c r="D511" t="s">
        <v>813</v>
      </c>
      <c r="E511" t="s">
        <v>1373</v>
      </c>
      <c r="G511" t="s">
        <v>1800</v>
      </c>
      <c r="H511" t="s">
        <v>37</v>
      </c>
      <c r="I511" t="s">
        <v>1801</v>
      </c>
      <c r="J511" t="s">
        <v>2048</v>
      </c>
      <c r="K511" t="s">
        <v>2452</v>
      </c>
      <c r="L511" t="s">
        <v>2453</v>
      </c>
      <c r="M511" t="s">
        <v>2454</v>
      </c>
      <c r="N511" t="s">
        <v>2455</v>
      </c>
      <c r="S511" t="s">
        <v>2511</v>
      </c>
      <c r="U511" s="91">
        <v>45697</v>
      </c>
      <c r="V511" t="s">
        <v>2575</v>
      </c>
      <c r="W511" t="s">
        <v>2597</v>
      </c>
      <c r="X511" s="4">
        <v>350000</v>
      </c>
      <c r="Y511" t="s">
        <v>29</v>
      </c>
    </row>
    <row r="512" spans="3:25" x14ac:dyDescent="0.4">
      <c r="C512" t="s">
        <v>4</v>
      </c>
      <c r="D512" t="s">
        <v>814</v>
      </c>
      <c r="E512" t="s">
        <v>1374</v>
      </c>
      <c r="G512" t="s">
        <v>1802</v>
      </c>
      <c r="H512" t="s">
        <v>37</v>
      </c>
      <c r="S512" t="s">
        <v>2505</v>
      </c>
      <c r="U512" s="91">
        <v>45970</v>
      </c>
      <c r="V512" t="s">
        <v>2576</v>
      </c>
      <c r="W512" t="s">
        <v>2597</v>
      </c>
      <c r="X512" s="4">
        <v>300000</v>
      </c>
      <c r="Y512" t="s">
        <v>29</v>
      </c>
    </row>
    <row r="513" spans="3:25" x14ac:dyDescent="0.4">
      <c r="C513" t="s">
        <v>4</v>
      </c>
      <c r="D513" t="s">
        <v>815</v>
      </c>
      <c r="E513" t="s">
        <v>1375</v>
      </c>
      <c r="G513" t="s">
        <v>1551</v>
      </c>
      <c r="H513" t="s">
        <v>37</v>
      </c>
      <c r="I513" t="s">
        <v>1803</v>
      </c>
      <c r="J513" t="s">
        <v>2049</v>
      </c>
      <c r="K513" t="s">
        <v>2456</v>
      </c>
      <c r="L513" t="s">
        <v>2457</v>
      </c>
      <c r="M513" t="s">
        <v>2458</v>
      </c>
      <c r="N513" t="s">
        <v>2459</v>
      </c>
      <c r="S513" t="s">
        <v>2506</v>
      </c>
      <c r="U513" s="91">
        <v>45795</v>
      </c>
      <c r="V513" t="s">
        <v>2577</v>
      </c>
      <c r="W513" t="s">
        <v>2599</v>
      </c>
      <c r="X513" s="4">
        <v>200000</v>
      </c>
      <c r="Y513" t="s">
        <v>29</v>
      </c>
    </row>
    <row r="514" spans="3:25" x14ac:dyDescent="0.4">
      <c r="C514" t="s">
        <v>4</v>
      </c>
      <c r="D514" t="s">
        <v>816</v>
      </c>
      <c r="E514" t="s">
        <v>1376</v>
      </c>
      <c r="G514" t="s">
        <v>963</v>
      </c>
      <c r="H514" t="s">
        <v>37</v>
      </c>
      <c r="S514" t="s">
        <v>2505</v>
      </c>
      <c r="U514" s="91">
        <v>46888</v>
      </c>
      <c r="V514" t="s">
        <v>2578</v>
      </c>
      <c r="W514" t="s">
        <v>2600</v>
      </c>
      <c r="X514" s="4">
        <v>500000</v>
      </c>
      <c r="Y514" t="s">
        <v>29</v>
      </c>
    </row>
    <row r="515" spans="3:25" x14ac:dyDescent="0.4">
      <c r="C515" t="s">
        <v>4</v>
      </c>
      <c r="D515" t="s">
        <v>817</v>
      </c>
      <c r="E515" t="s">
        <v>1377</v>
      </c>
      <c r="G515" t="s">
        <v>963</v>
      </c>
      <c r="H515" t="s">
        <v>37</v>
      </c>
      <c r="S515" t="s">
        <v>2503</v>
      </c>
      <c r="W515" t="s">
        <v>2598</v>
      </c>
      <c r="X515" s="4">
        <v>0</v>
      </c>
      <c r="Y515" t="s">
        <v>29</v>
      </c>
    </row>
    <row r="516" spans="3:25" x14ac:dyDescent="0.4">
      <c r="C516" t="s">
        <v>4</v>
      </c>
      <c r="D516" t="s">
        <v>818</v>
      </c>
      <c r="E516" t="s">
        <v>1378</v>
      </c>
      <c r="G516" t="s">
        <v>1154</v>
      </c>
      <c r="H516" t="s">
        <v>37</v>
      </c>
      <c r="S516" t="s">
        <v>2503</v>
      </c>
      <c r="W516" t="s">
        <v>2598</v>
      </c>
      <c r="X516" s="4">
        <v>0</v>
      </c>
      <c r="Y516" t="s">
        <v>29</v>
      </c>
    </row>
    <row r="517" spans="3:25" x14ac:dyDescent="0.4">
      <c r="C517" t="s">
        <v>4</v>
      </c>
      <c r="D517" t="s">
        <v>819</v>
      </c>
      <c r="E517" t="s">
        <v>1379</v>
      </c>
      <c r="G517" t="s">
        <v>1417</v>
      </c>
      <c r="H517" t="s">
        <v>35</v>
      </c>
      <c r="I517" t="s">
        <v>1575</v>
      </c>
      <c r="J517" t="s">
        <v>2050</v>
      </c>
      <c r="K517" t="s">
        <v>2460</v>
      </c>
      <c r="M517" t="s">
        <v>2461</v>
      </c>
      <c r="N517" t="s">
        <v>2462</v>
      </c>
      <c r="S517" t="s">
        <v>2505</v>
      </c>
      <c r="V517" t="s">
        <v>2579</v>
      </c>
      <c r="W517" t="s">
        <v>2600</v>
      </c>
      <c r="X517" s="4">
        <v>500000</v>
      </c>
      <c r="Y517" t="s">
        <v>2595</v>
      </c>
    </row>
    <row r="518" spans="3:25" x14ac:dyDescent="0.4">
      <c r="C518" t="s">
        <v>4</v>
      </c>
      <c r="D518" t="s">
        <v>820</v>
      </c>
      <c r="E518" t="s">
        <v>1380</v>
      </c>
      <c r="G518" t="s">
        <v>1004</v>
      </c>
      <c r="H518" t="s">
        <v>43</v>
      </c>
      <c r="I518" t="s">
        <v>1804</v>
      </c>
      <c r="J518" t="s">
        <v>2051</v>
      </c>
      <c r="N518" t="s">
        <v>2463</v>
      </c>
      <c r="S518" t="s">
        <v>2504</v>
      </c>
      <c r="W518" t="s">
        <v>2599</v>
      </c>
      <c r="X518" s="4">
        <v>150000</v>
      </c>
      <c r="Y518" t="s">
        <v>2595</v>
      </c>
    </row>
    <row r="519" spans="3:25" x14ac:dyDescent="0.4">
      <c r="C519" t="s">
        <v>4</v>
      </c>
      <c r="D519" t="s">
        <v>821</v>
      </c>
      <c r="E519" t="s">
        <v>1381</v>
      </c>
      <c r="G519" t="s">
        <v>963</v>
      </c>
      <c r="H519" t="s">
        <v>37</v>
      </c>
      <c r="I519" t="s">
        <v>1805</v>
      </c>
      <c r="N519" t="s">
        <v>2464</v>
      </c>
      <c r="S519" t="s">
        <v>2505</v>
      </c>
      <c r="W519" t="s">
        <v>2600</v>
      </c>
      <c r="X519" s="4">
        <v>100000</v>
      </c>
      <c r="Y519" t="s">
        <v>29</v>
      </c>
    </row>
    <row r="520" spans="3:25" x14ac:dyDescent="0.4">
      <c r="C520" t="s">
        <v>4</v>
      </c>
      <c r="D520" t="s">
        <v>822</v>
      </c>
      <c r="E520" t="s">
        <v>1382</v>
      </c>
      <c r="G520" t="s">
        <v>963</v>
      </c>
      <c r="H520" t="s">
        <v>37</v>
      </c>
      <c r="J520" t="s">
        <v>2052</v>
      </c>
      <c r="S520" t="s">
        <v>2505</v>
      </c>
      <c r="W520" t="s">
        <v>2598</v>
      </c>
      <c r="X520" s="4">
        <v>150000</v>
      </c>
      <c r="Y520" t="s">
        <v>29</v>
      </c>
    </row>
    <row r="521" spans="3:25" x14ac:dyDescent="0.4">
      <c r="C521" t="s">
        <v>4</v>
      </c>
      <c r="D521" t="s">
        <v>823</v>
      </c>
      <c r="E521" t="s">
        <v>1383</v>
      </c>
      <c r="G521" t="s">
        <v>966</v>
      </c>
      <c r="H521" t="s">
        <v>38</v>
      </c>
      <c r="S521" t="s">
        <v>2505</v>
      </c>
      <c r="W521" t="s">
        <v>2600</v>
      </c>
      <c r="Y521" t="s">
        <v>29</v>
      </c>
    </row>
    <row r="522" spans="3:25" x14ac:dyDescent="0.4">
      <c r="C522" t="s">
        <v>4</v>
      </c>
      <c r="D522" t="s">
        <v>824</v>
      </c>
      <c r="E522" t="s">
        <v>1384</v>
      </c>
      <c r="G522" t="s">
        <v>1423</v>
      </c>
      <c r="H522" t="s">
        <v>35</v>
      </c>
      <c r="I522" t="s">
        <v>1806</v>
      </c>
      <c r="J522" t="s">
        <v>2053</v>
      </c>
      <c r="S522" t="s">
        <v>2505</v>
      </c>
      <c r="V522" t="s">
        <v>2580</v>
      </c>
      <c r="W522" t="s">
        <v>2599</v>
      </c>
      <c r="X522" s="4">
        <v>250000</v>
      </c>
      <c r="Y522" t="s">
        <v>2595</v>
      </c>
    </row>
    <row r="523" spans="3:25" x14ac:dyDescent="0.4">
      <c r="C523" t="s">
        <v>4</v>
      </c>
      <c r="D523" t="s">
        <v>825</v>
      </c>
      <c r="E523" t="s">
        <v>1385</v>
      </c>
      <c r="G523" t="s">
        <v>963</v>
      </c>
      <c r="H523" t="s">
        <v>37</v>
      </c>
      <c r="I523" t="s">
        <v>1807</v>
      </c>
      <c r="S523" t="s">
        <v>2503</v>
      </c>
    </row>
    <row r="524" spans="3:25" x14ac:dyDescent="0.4">
      <c r="C524" t="s">
        <v>4</v>
      </c>
      <c r="D524" t="s">
        <v>826</v>
      </c>
      <c r="E524" t="s">
        <v>1386</v>
      </c>
      <c r="G524" t="s">
        <v>1528</v>
      </c>
      <c r="H524" t="s">
        <v>37</v>
      </c>
      <c r="J524" t="s">
        <v>2054</v>
      </c>
      <c r="S524" t="s">
        <v>2503</v>
      </c>
      <c r="U524" s="91">
        <v>45525</v>
      </c>
      <c r="V524" t="s">
        <v>2581</v>
      </c>
      <c r="W524" t="s">
        <v>2598</v>
      </c>
      <c r="X524" s="4">
        <v>0</v>
      </c>
      <c r="Y524" t="s">
        <v>29</v>
      </c>
    </row>
    <row r="525" spans="3:25" x14ac:dyDescent="0.4">
      <c r="C525" t="s">
        <v>4</v>
      </c>
      <c r="D525" t="s">
        <v>827</v>
      </c>
      <c r="E525" t="s">
        <v>1387</v>
      </c>
      <c r="G525" t="s">
        <v>966</v>
      </c>
      <c r="H525" t="s">
        <v>38</v>
      </c>
      <c r="I525" t="s">
        <v>1808</v>
      </c>
      <c r="N525" t="s">
        <v>2465</v>
      </c>
      <c r="S525" t="s">
        <v>2505</v>
      </c>
      <c r="X525" s="4">
        <v>100000</v>
      </c>
    </row>
    <row r="526" spans="3:25" x14ac:dyDescent="0.4">
      <c r="C526" t="s">
        <v>4</v>
      </c>
      <c r="D526" t="s">
        <v>828</v>
      </c>
      <c r="E526" t="s">
        <v>1388</v>
      </c>
      <c r="G526" t="s">
        <v>1933</v>
      </c>
      <c r="H526" t="s">
        <v>37</v>
      </c>
      <c r="I526" t="s">
        <v>1809</v>
      </c>
      <c r="J526" t="s">
        <v>2055</v>
      </c>
      <c r="K526" t="s">
        <v>2466</v>
      </c>
      <c r="L526" t="s">
        <v>2467</v>
      </c>
      <c r="M526" t="s">
        <v>2468</v>
      </c>
      <c r="N526" t="s">
        <v>2469</v>
      </c>
      <c r="S526" t="s">
        <v>2505</v>
      </c>
      <c r="U526" s="91">
        <v>45842</v>
      </c>
      <c r="V526" t="s">
        <v>2582</v>
      </c>
      <c r="X526" s="4">
        <v>500000</v>
      </c>
    </row>
    <row r="527" spans="3:25" x14ac:dyDescent="0.4">
      <c r="C527" t="s">
        <v>4</v>
      </c>
      <c r="D527" t="s">
        <v>829</v>
      </c>
      <c r="E527" t="s">
        <v>1389</v>
      </c>
      <c r="G527" t="s">
        <v>1810</v>
      </c>
      <c r="H527" t="s">
        <v>37</v>
      </c>
      <c r="I527" t="s">
        <v>1811</v>
      </c>
      <c r="J527" t="s">
        <v>2056</v>
      </c>
      <c r="K527" t="s">
        <v>2470</v>
      </c>
      <c r="L527" t="s">
        <v>2471</v>
      </c>
      <c r="M527" t="s">
        <v>2472</v>
      </c>
      <c r="N527" t="s">
        <v>2473</v>
      </c>
      <c r="S527" t="s">
        <v>2505</v>
      </c>
      <c r="U527" s="91">
        <v>45982</v>
      </c>
      <c r="V527" t="s">
        <v>2583</v>
      </c>
      <c r="W527" t="s">
        <v>2600</v>
      </c>
      <c r="X527" s="4">
        <v>600000</v>
      </c>
      <c r="Y527" t="s">
        <v>29</v>
      </c>
    </row>
    <row r="528" spans="3:25" x14ac:dyDescent="0.4">
      <c r="C528" t="s">
        <v>3</v>
      </c>
      <c r="D528" t="s">
        <v>830</v>
      </c>
      <c r="E528" t="s">
        <v>1390</v>
      </c>
      <c r="G528" t="s">
        <v>1812</v>
      </c>
      <c r="H528" t="s">
        <v>35</v>
      </c>
      <c r="I528" t="s">
        <v>1813</v>
      </c>
      <c r="J528" t="s">
        <v>2057</v>
      </c>
      <c r="K528">
        <v>0</v>
      </c>
      <c r="L528">
        <v>0</v>
      </c>
      <c r="N528">
        <v>0</v>
      </c>
      <c r="S528" t="s">
        <v>2503</v>
      </c>
      <c r="V528">
        <v>0</v>
      </c>
    </row>
    <row r="529" spans="3:25" x14ac:dyDescent="0.4">
      <c r="C529" t="s">
        <v>4</v>
      </c>
      <c r="D529" t="s">
        <v>831</v>
      </c>
      <c r="E529" t="s">
        <v>1391</v>
      </c>
      <c r="G529" t="s">
        <v>1814</v>
      </c>
      <c r="H529" t="s">
        <v>38</v>
      </c>
      <c r="K529" t="s">
        <v>2474</v>
      </c>
      <c r="M529" t="s">
        <v>2475</v>
      </c>
      <c r="S529" t="s">
        <v>2505</v>
      </c>
      <c r="W529" t="s">
        <v>2597</v>
      </c>
      <c r="X529" s="4">
        <v>300000</v>
      </c>
      <c r="Y529" t="s">
        <v>2595</v>
      </c>
    </row>
    <row r="530" spans="3:25" x14ac:dyDescent="0.4">
      <c r="C530" t="s">
        <v>3</v>
      </c>
      <c r="D530" t="s">
        <v>832</v>
      </c>
      <c r="E530" t="s">
        <v>1392</v>
      </c>
      <c r="G530" t="s">
        <v>1815</v>
      </c>
      <c r="H530" t="s">
        <v>39</v>
      </c>
      <c r="I530" t="s">
        <v>1816</v>
      </c>
      <c r="S530" t="s">
        <v>2503</v>
      </c>
    </row>
    <row r="531" spans="3:25" x14ac:dyDescent="0.4">
      <c r="C531" t="s">
        <v>4</v>
      </c>
      <c r="D531" t="s">
        <v>833</v>
      </c>
      <c r="G531" t="s">
        <v>940</v>
      </c>
      <c r="H531" t="s">
        <v>40</v>
      </c>
      <c r="I531" t="s">
        <v>1817</v>
      </c>
      <c r="J531" t="s">
        <v>2058</v>
      </c>
      <c r="S531" t="s">
        <v>2503</v>
      </c>
    </row>
    <row r="532" spans="3:25" x14ac:dyDescent="0.4">
      <c r="C532" t="s">
        <v>4</v>
      </c>
      <c r="D532" t="s">
        <v>834</v>
      </c>
      <c r="E532" t="s">
        <v>1393</v>
      </c>
      <c r="G532" t="s">
        <v>963</v>
      </c>
      <c r="H532" t="s">
        <v>37</v>
      </c>
      <c r="I532" t="s">
        <v>1818</v>
      </c>
      <c r="N532" t="s">
        <v>2476</v>
      </c>
      <c r="S532" t="s">
        <v>2509</v>
      </c>
      <c r="V532" t="s">
        <v>2584</v>
      </c>
    </row>
    <row r="533" spans="3:25" x14ac:dyDescent="0.4">
      <c r="C533" t="s">
        <v>5</v>
      </c>
      <c r="D533" t="s">
        <v>835</v>
      </c>
      <c r="E533" t="s">
        <v>1394</v>
      </c>
      <c r="G533" t="s">
        <v>1423</v>
      </c>
      <c r="H533" t="s">
        <v>35</v>
      </c>
      <c r="I533" t="s">
        <v>1637</v>
      </c>
      <c r="J533" t="s">
        <v>2059</v>
      </c>
      <c r="K533" t="s">
        <v>29</v>
      </c>
      <c r="L533" t="s">
        <v>2477</v>
      </c>
      <c r="N533" t="s">
        <v>2478</v>
      </c>
      <c r="S533" t="s">
        <v>2503</v>
      </c>
      <c r="V533" t="s">
        <v>2585</v>
      </c>
    </row>
    <row r="534" spans="3:25" x14ac:dyDescent="0.4">
      <c r="C534" t="s">
        <v>4</v>
      </c>
      <c r="D534" t="s">
        <v>836</v>
      </c>
      <c r="E534" t="s">
        <v>1395</v>
      </c>
      <c r="G534" t="s">
        <v>963</v>
      </c>
      <c r="H534" t="s">
        <v>37</v>
      </c>
      <c r="S534" t="s">
        <v>2504</v>
      </c>
    </row>
    <row r="535" spans="3:25" x14ac:dyDescent="0.4">
      <c r="C535" t="s">
        <v>4</v>
      </c>
      <c r="D535" t="s">
        <v>837</v>
      </c>
      <c r="E535" t="s">
        <v>1396</v>
      </c>
      <c r="G535" t="s">
        <v>963</v>
      </c>
      <c r="H535" t="s">
        <v>37</v>
      </c>
      <c r="I535" t="s">
        <v>1819</v>
      </c>
      <c r="J535" t="s">
        <v>2060</v>
      </c>
      <c r="M535" t="s">
        <v>2479</v>
      </c>
      <c r="N535" t="s">
        <v>2480</v>
      </c>
      <c r="S535" t="s">
        <v>2505</v>
      </c>
      <c r="U535" s="91">
        <v>45989</v>
      </c>
      <c r="V535" t="s">
        <v>2586</v>
      </c>
      <c r="W535" t="s">
        <v>2597</v>
      </c>
      <c r="X535" s="4">
        <v>100000</v>
      </c>
      <c r="Y535" t="s">
        <v>29</v>
      </c>
    </row>
    <row r="536" spans="3:25" x14ac:dyDescent="0.4">
      <c r="C536" t="s">
        <v>4</v>
      </c>
      <c r="D536" t="s">
        <v>838</v>
      </c>
      <c r="E536" t="s">
        <v>1397</v>
      </c>
      <c r="G536" t="s">
        <v>963</v>
      </c>
      <c r="H536" t="s">
        <v>37</v>
      </c>
      <c r="I536" t="s">
        <v>1820</v>
      </c>
      <c r="S536" t="s">
        <v>2508</v>
      </c>
      <c r="U536" s="91">
        <v>45834</v>
      </c>
      <c r="V536" t="s">
        <v>2587</v>
      </c>
      <c r="W536" t="s">
        <v>2599</v>
      </c>
      <c r="X536" s="4">
        <v>300000</v>
      </c>
      <c r="Y536" t="s">
        <v>29</v>
      </c>
    </row>
    <row r="537" spans="3:25" x14ac:dyDescent="0.4">
      <c r="C537" t="s">
        <v>4</v>
      </c>
      <c r="D537" t="s">
        <v>839</v>
      </c>
      <c r="E537" t="s">
        <v>1398</v>
      </c>
      <c r="G537" t="s">
        <v>963</v>
      </c>
      <c r="H537" t="s">
        <v>37</v>
      </c>
      <c r="I537" t="s">
        <v>1821</v>
      </c>
      <c r="J537" t="s">
        <v>2061</v>
      </c>
      <c r="M537" t="s">
        <v>2061</v>
      </c>
      <c r="S537" t="s">
        <v>2505</v>
      </c>
      <c r="V537" t="s">
        <v>2588</v>
      </c>
      <c r="W537" t="s">
        <v>2597</v>
      </c>
      <c r="X537" s="4">
        <v>200000</v>
      </c>
      <c r="Y537" t="s">
        <v>29</v>
      </c>
    </row>
    <row r="538" spans="3:25" x14ac:dyDescent="0.4">
      <c r="C538" t="s">
        <v>4</v>
      </c>
      <c r="D538" t="s">
        <v>840</v>
      </c>
      <c r="E538" t="s">
        <v>1399</v>
      </c>
      <c r="G538" t="s">
        <v>1154</v>
      </c>
      <c r="H538" t="s">
        <v>37</v>
      </c>
      <c r="I538" t="s">
        <v>1822</v>
      </c>
      <c r="J538" t="s">
        <v>2062</v>
      </c>
      <c r="M538" t="s">
        <v>2481</v>
      </c>
      <c r="S538" t="s">
        <v>2503</v>
      </c>
      <c r="W538" t="s">
        <v>2598</v>
      </c>
      <c r="X538" s="4">
        <v>0</v>
      </c>
      <c r="Y538" t="s">
        <v>29</v>
      </c>
    </row>
    <row r="539" spans="3:25" x14ac:dyDescent="0.4">
      <c r="C539" t="s">
        <v>4</v>
      </c>
      <c r="D539" t="s">
        <v>841</v>
      </c>
      <c r="E539" t="s">
        <v>1400</v>
      </c>
      <c r="G539" t="s">
        <v>1934</v>
      </c>
      <c r="H539" t="s">
        <v>35</v>
      </c>
      <c r="I539" t="s">
        <v>1823</v>
      </c>
      <c r="J539" t="s">
        <v>2063</v>
      </c>
      <c r="K539" t="s">
        <v>2482</v>
      </c>
      <c r="L539" t="s">
        <v>2251</v>
      </c>
      <c r="M539" t="s">
        <v>2483</v>
      </c>
      <c r="N539" t="s">
        <v>2484</v>
      </c>
      <c r="S539" t="s">
        <v>2508</v>
      </c>
      <c r="V539" t="s">
        <v>2589</v>
      </c>
      <c r="W539" t="s">
        <v>2598</v>
      </c>
      <c r="X539" s="4">
        <v>50000</v>
      </c>
      <c r="Y539" t="s">
        <v>29</v>
      </c>
    </row>
    <row r="540" spans="3:25" x14ac:dyDescent="0.4">
      <c r="C540" t="s">
        <v>4</v>
      </c>
      <c r="D540" t="s">
        <v>842</v>
      </c>
      <c r="E540" t="s">
        <v>1401</v>
      </c>
      <c r="G540" t="s">
        <v>1154</v>
      </c>
      <c r="H540" t="s">
        <v>37</v>
      </c>
      <c r="I540" t="s">
        <v>1824</v>
      </c>
      <c r="J540" t="s">
        <v>2064</v>
      </c>
      <c r="K540" t="s">
        <v>2485</v>
      </c>
      <c r="M540">
        <v>96657827896</v>
      </c>
      <c r="N540" t="s">
        <v>2486</v>
      </c>
      <c r="S540" t="s">
        <v>2503</v>
      </c>
      <c r="U540" s="91">
        <v>46101</v>
      </c>
      <c r="V540" t="s">
        <v>2590</v>
      </c>
    </row>
    <row r="541" spans="3:25" x14ac:dyDescent="0.4">
      <c r="C541" t="s">
        <v>4</v>
      </c>
      <c r="D541" t="s">
        <v>843</v>
      </c>
      <c r="E541" t="s">
        <v>1402</v>
      </c>
      <c r="G541" t="s">
        <v>963</v>
      </c>
      <c r="H541" t="s">
        <v>37</v>
      </c>
      <c r="I541" t="s">
        <v>1806</v>
      </c>
      <c r="J541" t="s">
        <v>2065</v>
      </c>
      <c r="K541" t="s">
        <v>2487</v>
      </c>
      <c r="L541" t="s">
        <v>2488</v>
      </c>
      <c r="M541" t="s">
        <v>2489</v>
      </c>
      <c r="N541" t="s">
        <v>2490</v>
      </c>
      <c r="S541" t="s">
        <v>2505</v>
      </c>
      <c r="U541" s="91">
        <v>46073</v>
      </c>
      <c r="V541" t="s">
        <v>2591</v>
      </c>
      <c r="W541" t="s">
        <v>2600</v>
      </c>
      <c r="X541" s="4">
        <v>300000</v>
      </c>
      <c r="Y541" t="s">
        <v>29</v>
      </c>
    </row>
    <row r="542" spans="3:25" x14ac:dyDescent="0.4">
      <c r="C542" t="s">
        <v>4</v>
      </c>
      <c r="D542" t="s">
        <v>844</v>
      </c>
      <c r="E542" t="s">
        <v>1403</v>
      </c>
      <c r="G542" t="s">
        <v>963</v>
      </c>
      <c r="H542" t="s">
        <v>37</v>
      </c>
      <c r="J542" t="s">
        <v>2066</v>
      </c>
      <c r="S542" t="s">
        <v>2509</v>
      </c>
      <c r="U542" s="91">
        <v>45763</v>
      </c>
      <c r="V542" t="s">
        <v>2592</v>
      </c>
      <c r="W542" t="s">
        <v>2597</v>
      </c>
      <c r="X542" s="4">
        <v>500000</v>
      </c>
      <c r="Y542" t="s">
        <v>29</v>
      </c>
    </row>
    <row r="543" spans="3:25" x14ac:dyDescent="0.4">
      <c r="C543" t="s">
        <v>4</v>
      </c>
      <c r="D543" t="s">
        <v>845</v>
      </c>
      <c r="E543" t="s">
        <v>1404</v>
      </c>
      <c r="G543" t="s">
        <v>1825</v>
      </c>
      <c r="H543" t="s">
        <v>45</v>
      </c>
      <c r="I543" t="s">
        <v>1826</v>
      </c>
      <c r="J543" t="s">
        <v>2067</v>
      </c>
      <c r="S543" t="s">
        <v>2510</v>
      </c>
    </row>
    <row r="544" spans="3:25" x14ac:dyDescent="0.4">
      <c r="C544" t="s">
        <v>3</v>
      </c>
      <c r="D544" t="s">
        <v>846</v>
      </c>
      <c r="G544" t="s">
        <v>1827</v>
      </c>
      <c r="H544" t="s">
        <v>1606</v>
      </c>
      <c r="I544" t="s">
        <v>1828</v>
      </c>
      <c r="S544" t="s">
        <v>2503</v>
      </c>
    </row>
    <row r="545" spans="3:19" x14ac:dyDescent="0.4">
      <c r="C545" t="s">
        <v>4</v>
      </c>
      <c r="D545" t="s">
        <v>847</v>
      </c>
      <c r="E545" t="s">
        <v>1405</v>
      </c>
      <c r="G545" t="s">
        <v>980</v>
      </c>
      <c r="H545" t="s">
        <v>40</v>
      </c>
      <c r="I545" t="s">
        <v>1829</v>
      </c>
      <c r="J545" t="s">
        <v>2068</v>
      </c>
      <c r="S545" t="s">
        <v>2503</v>
      </c>
    </row>
    <row r="546" spans="3:19" x14ac:dyDescent="0.4">
      <c r="C546" t="s">
        <v>4</v>
      </c>
      <c r="D546" t="s">
        <v>848</v>
      </c>
      <c r="E546" t="s">
        <v>1406</v>
      </c>
      <c r="F546" t="s">
        <v>1456</v>
      </c>
      <c r="G546" t="s">
        <v>940</v>
      </c>
      <c r="H546" t="s">
        <v>40</v>
      </c>
      <c r="I546" t="s">
        <v>1830</v>
      </c>
      <c r="J546" t="s">
        <v>2069</v>
      </c>
      <c r="S546" t="s">
        <v>2503</v>
      </c>
    </row>
    <row r="547" spans="3:19" x14ac:dyDescent="0.4">
      <c r="C547" t="s">
        <v>3</v>
      </c>
      <c r="D547" t="s">
        <v>849</v>
      </c>
      <c r="E547" t="s">
        <v>1407</v>
      </c>
      <c r="F547" t="s">
        <v>1457</v>
      </c>
      <c r="G547" t="s">
        <v>1831</v>
      </c>
      <c r="H547" t="s">
        <v>44</v>
      </c>
      <c r="I547" t="s">
        <v>1832</v>
      </c>
      <c r="S547" t="s">
        <v>2503</v>
      </c>
    </row>
    <row r="548" spans="3:19" x14ac:dyDescent="0.4">
      <c r="C548" t="s">
        <v>3</v>
      </c>
      <c r="D548" t="s">
        <v>850</v>
      </c>
      <c r="E548" t="s">
        <v>1408</v>
      </c>
      <c r="F548" t="s">
        <v>1458</v>
      </c>
      <c r="G548" t="s">
        <v>1812</v>
      </c>
      <c r="H548" t="s">
        <v>35</v>
      </c>
      <c r="I548" t="s">
        <v>1833</v>
      </c>
      <c r="S548" t="s">
        <v>2503</v>
      </c>
    </row>
    <row r="549" spans="3:19" x14ac:dyDescent="0.4">
      <c r="C549" t="s">
        <v>4</v>
      </c>
      <c r="D549" t="s">
        <v>851</v>
      </c>
      <c r="E549" t="s">
        <v>1409</v>
      </c>
      <c r="F549" t="s">
        <v>1459</v>
      </c>
      <c r="G549" t="s">
        <v>1812</v>
      </c>
      <c r="H549" t="s">
        <v>35</v>
      </c>
      <c r="I549" t="s">
        <v>1834</v>
      </c>
      <c r="J549" t="s">
        <v>2070</v>
      </c>
      <c r="S549" t="s">
        <v>2503</v>
      </c>
    </row>
    <row r="550" spans="3:19" x14ac:dyDescent="0.4">
      <c r="C550" t="s">
        <v>4</v>
      </c>
      <c r="D550" t="s">
        <v>852</v>
      </c>
      <c r="E550" t="s">
        <v>1410</v>
      </c>
      <c r="F550" t="s">
        <v>1460</v>
      </c>
      <c r="G550" t="s">
        <v>1812</v>
      </c>
      <c r="H550" t="s">
        <v>35</v>
      </c>
      <c r="I550" t="s">
        <v>1835</v>
      </c>
      <c r="S550" t="s">
        <v>2503</v>
      </c>
    </row>
    <row r="551" spans="3:19" x14ac:dyDescent="0.4">
      <c r="C551" t="s">
        <v>3</v>
      </c>
      <c r="D551" t="s">
        <v>853</v>
      </c>
      <c r="E551" t="s">
        <v>1411</v>
      </c>
      <c r="G551" t="s">
        <v>1836</v>
      </c>
      <c r="H551" t="s">
        <v>36</v>
      </c>
      <c r="I551" t="s">
        <v>1837</v>
      </c>
      <c r="S551" t="s">
        <v>2503</v>
      </c>
    </row>
    <row r="552" spans="3:19" x14ac:dyDescent="0.4">
      <c r="C552" t="s">
        <v>4</v>
      </c>
      <c r="D552" t="s">
        <v>854</v>
      </c>
      <c r="E552" t="s">
        <v>1412</v>
      </c>
      <c r="F552" t="s">
        <v>1461</v>
      </c>
      <c r="G552" t="s">
        <v>1838</v>
      </c>
      <c r="H552" t="s">
        <v>36</v>
      </c>
      <c r="I552" t="s">
        <v>1839</v>
      </c>
      <c r="S552" t="s">
        <v>2503</v>
      </c>
    </row>
    <row r="553" spans="3:19" x14ac:dyDescent="0.4">
      <c r="C553" t="s">
        <v>3</v>
      </c>
      <c r="D553" t="s">
        <v>855</v>
      </c>
      <c r="G553" t="s">
        <v>1772</v>
      </c>
      <c r="H553" t="s">
        <v>37</v>
      </c>
      <c r="I553" t="s">
        <v>1840</v>
      </c>
      <c r="S553" t="s">
        <v>2503</v>
      </c>
    </row>
    <row r="554" spans="3:19" x14ac:dyDescent="0.4">
      <c r="C554" t="s">
        <v>4</v>
      </c>
      <c r="D554" t="s">
        <v>856</v>
      </c>
      <c r="E554" t="s">
        <v>1413</v>
      </c>
      <c r="F554" t="s">
        <v>1462</v>
      </c>
      <c r="G554" t="s">
        <v>1489</v>
      </c>
      <c r="H554" t="s">
        <v>37</v>
      </c>
      <c r="I554" t="s">
        <v>1841</v>
      </c>
      <c r="J554" t="s">
        <v>2071</v>
      </c>
      <c r="K554" t="s">
        <v>2491</v>
      </c>
      <c r="L554" t="s">
        <v>2492</v>
      </c>
      <c r="M554" t="s">
        <v>2493</v>
      </c>
      <c r="N554" t="s">
        <v>2494</v>
      </c>
      <c r="S554" t="s">
        <v>2503</v>
      </c>
    </row>
    <row r="555" spans="3:19" x14ac:dyDescent="0.4">
      <c r="C555" t="s">
        <v>3</v>
      </c>
      <c r="D555" t="s">
        <v>857</v>
      </c>
      <c r="E555" t="s">
        <v>1414</v>
      </c>
      <c r="G555" t="s">
        <v>980</v>
      </c>
      <c r="H555" t="s">
        <v>40</v>
      </c>
      <c r="I555" t="s">
        <v>1842</v>
      </c>
      <c r="S555" t="s">
        <v>2503</v>
      </c>
    </row>
    <row r="556" spans="3:19" x14ac:dyDescent="0.4">
      <c r="C556" t="s">
        <v>4</v>
      </c>
      <c r="D556" t="s">
        <v>858</v>
      </c>
      <c r="E556" t="s">
        <v>1415</v>
      </c>
      <c r="G556" t="s">
        <v>1843</v>
      </c>
      <c r="H556" t="s">
        <v>35</v>
      </c>
      <c r="I556" t="s">
        <v>1844</v>
      </c>
      <c r="S556" t="s">
        <v>2503</v>
      </c>
    </row>
    <row r="557" spans="3:19" x14ac:dyDescent="0.4">
      <c r="C557" t="s">
        <v>3</v>
      </c>
      <c r="D557" t="s">
        <v>859</v>
      </c>
      <c r="E557" t="s">
        <v>1416</v>
      </c>
      <c r="G557" t="s">
        <v>1417</v>
      </c>
      <c r="H557" t="s">
        <v>35</v>
      </c>
      <c r="I557" t="s">
        <v>1845</v>
      </c>
      <c r="J557" t="s">
        <v>2072</v>
      </c>
      <c r="S557" t="s">
        <v>2503</v>
      </c>
    </row>
    <row r="558" spans="3:19" x14ac:dyDescent="0.4">
      <c r="C558" t="s">
        <v>3</v>
      </c>
      <c r="D558" t="s">
        <v>860</v>
      </c>
      <c r="E558" t="s">
        <v>1417</v>
      </c>
      <c r="F558" t="s">
        <v>1463</v>
      </c>
      <c r="G558" t="s">
        <v>1846</v>
      </c>
      <c r="H558" t="s">
        <v>35</v>
      </c>
      <c r="I558" t="s">
        <v>1847</v>
      </c>
      <c r="S558" t="s">
        <v>2503</v>
      </c>
    </row>
    <row r="559" spans="3:19" x14ac:dyDescent="0.4">
      <c r="C559" t="s">
        <v>4</v>
      </c>
      <c r="D559" t="s">
        <v>861</v>
      </c>
      <c r="E559" t="s">
        <v>1418</v>
      </c>
      <c r="G559" t="s">
        <v>1417</v>
      </c>
      <c r="H559" t="s">
        <v>35</v>
      </c>
      <c r="I559" t="s">
        <v>1848</v>
      </c>
      <c r="J559" t="s">
        <v>2073</v>
      </c>
      <c r="K559" t="s">
        <v>2495</v>
      </c>
      <c r="N559" t="s">
        <v>2496</v>
      </c>
      <c r="S559" t="s">
        <v>2503</v>
      </c>
    </row>
    <row r="560" spans="3:19" x14ac:dyDescent="0.4">
      <c r="C560" t="s">
        <v>3</v>
      </c>
      <c r="D560" t="s">
        <v>862</v>
      </c>
      <c r="G560" t="s">
        <v>68</v>
      </c>
      <c r="H560" t="s">
        <v>71</v>
      </c>
      <c r="I560" t="s">
        <v>1849</v>
      </c>
      <c r="S560" t="s">
        <v>2503</v>
      </c>
    </row>
    <row r="561" spans="3:25" x14ac:dyDescent="0.4">
      <c r="C561" t="s">
        <v>4</v>
      </c>
      <c r="D561" t="s">
        <v>863</v>
      </c>
      <c r="G561" t="s">
        <v>1850</v>
      </c>
      <c r="H561" t="s">
        <v>71</v>
      </c>
      <c r="I561" t="s">
        <v>118</v>
      </c>
      <c r="S561" t="s">
        <v>2503</v>
      </c>
    </row>
    <row r="562" spans="3:25" x14ac:dyDescent="0.4">
      <c r="C562" t="s">
        <v>3</v>
      </c>
      <c r="D562" t="s">
        <v>864</v>
      </c>
      <c r="G562" t="s">
        <v>1850</v>
      </c>
      <c r="H562" t="s">
        <v>71</v>
      </c>
      <c r="I562" t="s">
        <v>1851</v>
      </c>
      <c r="S562" t="s">
        <v>2503</v>
      </c>
    </row>
    <row r="563" spans="3:25" x14ac:dyDescent="0.4">
      <c r="C563" t="s">
        <v>4</v>
      </c>
      <c r="D563" t="s">
        <v>504</v>
      </c>
      <c r="E563" t="s">
        <v>1419</v>
      </c>
      <c r="F563" t="s">
        <v>1464</v>
      </c>
      <c r="G563" t="s">
        <v>1852</v>
      </c>
      <c r="H563" t="s">
        <v>37</v>
      </c>
      <c r="I563" t="s">
        <v>1575</v>
      </c>
      <c r="J563" t="s">
        <v>2074</v>
      </c>
      <c r="S563" t="s">
        <v>2505</v>
      </c>
      <c r="W563" t="s">
        <v>2597</v>
      </c>
      <c r="Y563" t="s">
        <v>29</v>
      </c>
    </row>
    <row r="564" spans="3:25" x14ac:dyDescent="0.4">
      <c r="C564" t="s">
        <v>4</v>
      </c>
      <c r="D564" t="s">
        <v>865</v>
      </c>
      <c r="E564" t="s">
        <v>1420</v>
      </c>
      <c r="F564" t="s">
        <v>1465</v>
      </c>
      <c r="G564" t="s">
        <v>1465</v>
      </c>
      <c r="H564" t="s">
        <v>37</v>
      </c>
      <c r="I564" t="s">
        <v>118</v>
      </c>
      <c r="S564" t="s">
        <v>2505</v>
      </c>
      <c r="Y564" t="s">
        <v>29</v>
      </c>
    </row>
    <row r="565" spans="3:25" x14ac:dyDescent="0.4">
      <c r="C565" t="s">
        <v>3</v>
      </c>
      <c r="D565" t="s">
        <v>866</v>
      </c>
      <c r="E565" t="s">
        <v>1421</v>
      </c>
      <c r="G565" t="s">
        <v>1853</v>
      </c>
      <c r="H565" t="s">
        <v>37</v>
      </c>
      <c r="I565" t="s">
        <v>1854</v>
      </c>
      <c r="S565" t="s">
        <v>2503</v>
      </c>
      <c r="Y565" t="s">
        <v>100</v>
      </c>
    </row>
    <row r="566" spans="3:25" x14ac:dyDescent="0.4">
      <c r="C566" t="s">
        <v>4</v>
      </c>
      <c r="D566" t="s">
        <v>477</v>
      </c>
      <c r="E566" t="s">
        <v>1422</v>
      </c>
      <c r="F566" t="s">
        <v>1466</v>
      </c>
      <c r="G566" t="s">
        <v>1417</v>
      </c>
      <c r="H566" t="s">
        <v>35</v>
      </c>
      <c r="I566" t="s">
        <v>1855</v>
      </c>
      <c r="K566" t="s">
        <v>2497</v>
      </c>
      <c r="L566" t="s">
        <v>2498</v>
      </c>
      <c r="M566" t="s">
        <v>2499</v>
      </c>
      <c r="N566" t="s">
        <v>2500</v>
      </c>
      <c r="S566" t="s">
        <v>2505</v>
      </c>
      <c r="T566">
        <v>1004199</v>
      </c>
      <c r="U566" s="91">
        <v>45971</v>
      </c>
      <c r="V566" t="s">
        <v>2520</v>
      </c>
      <c r="Y566" t="s">
        <v>251</v>
      </c>
    </row>
    <row r="567" spans="3:25" x14ac:dyDescent="0.4">
      <c r="C567" t="s">
        <v>3</v>
      </c>
      <c r="D567" t="s">
        <v>867</v>
      </c>
      <c r="E567" t="s">
        <v>1423</v>
      </c>
      <c r="G567" t="s">
        <v>1423</v>
      </c>
      <c r="H567" t="s">
        <v>35</v>
      </c>
      <c r="I567" t="s">
        <v>1856</v>
      </c>
      <c r="S567" t="s">
        <v>2503</v>
      </c>
      <c r="Y567" t="s">
        <v>76</v>
      </c>
    </row>
    <row r="568" spans="3:25" x14ac:dyDescent="0.4">
      <c r="C568" t="s">
        <v>3</v>
      </c>
      <c r="D568" t="s">
        <v>868</v>
      </c>
      <c r="G568" t="s">
        <v>1772</v>
      </c>
      <c r="H568" t="s">
        <v>37</v>
      </c>
      <c r="I568" t="s">
        <v>1857</v>
      </c>
      <c r="S568" t="s">
        <v>2505</v>
      </c>
      <c r="Y568" t="s">
        <v>100</v>
      </c>
    </row>
    <row r="569" spans="3:25" x14ac:dyDescent="0.4">
      <c r="C569" t="s">
        <v>3</v>
      </c>
      <c r="D569" t="s">
        <v>620</v>
      </c>
      <c r="E569" t="s">
        <v>1424</v>
      </c>
      <c r="G569" t="s">
        <v>980</v>
      </c>
      <c r="H569" t="s">
        <v>40</v>
      </c>
      <c r="I569" t="s">
        <v>1858</v>
      </c>
      <c r="S569" t="s">
        <v>2503</v>
      </c>
      <c r="Y569" t="s">
        <v>250</v>
      </c>
    </row>
    <row r="570" spans="3:25" x14ac:dyDescent="0.4">
      <c r="C570" t="s">
        <v>3</v>
      </c>
      <c r="D570" t="s">
        <v>869</v>
      </c>
      <c r="E570" t="s">
        <v>1425</v>
      </c>
      <c r="G570" t="s">
        <v>980</v>
      </c>
      <c r="H570" t="s">
        <v>40</v>
      </c>
      <c r="I570" t="s">
        <v>1859</v>
      </c>
      <c r="S570" t="s">
        <v>2503</v>
      </c>
      <c r="Y570" t="s">
        <v>250</v>
      </c>
    </row>
    <row r="571" spans="3:25" x14ac:dyDescent="0.4">
      <c r="C571" t="s">
        <v>5</v>
      </c>
      <c r="D571" t="s">
        <v>870</v>
      </c>
      <c r="E571" t="s">
        <v>1426</v>
      </c>
      <c r="F571" t="s">
        <v>1467</v>
      </c>
      <c r="G571" t="s">
        <v>1423</v>
      </c>
      <c r="H571" t="s">
        <v>35</v>
      </c>
      <c r="I571" t="s">
        <v>1860</v>
      </c>
      <c r="S571" t="s">
        <v>2503</v>
      </c>
      <c r="Y571" t="s">
        <v>76</v>
      </c>
    </row>
    <row r="572" spans="3:25" x14ac:dyDescent="0.4">
      <c r="C572" t="s">
        <v>3</v>
      </c>
      <c r="D572" t="s">
        <v>871</v>
      </c>
      <c r="E572" t="s">
        <v>1427</v>
      </c>
      <c r="F572" t="s">
        <v>1468</v>
      </c>
      <c r="G572" t="s">
        <v>1935</v>
      </c>
      <c r="H572" t="s">
        <v>37</v>
      </c>
      <c r="I572" t="s">
        <v>1861</v>
      </c>
      <c r="S572" t="s">
        <v>2503</v>
      </c>
      <c r="Y572" t="s">
        <v>100</v>
      </c>
    </row>
    <row r="573" spans="3:25" x14ac:dyDescent="0.4">
      <c r="C573" t="s">
        <v>4</v>
      </c>
      <c r="D573" t="s">
        <v>872</v>
      </c>
      <c r="E573" t="s">
        <v>1428</v>
      </c>
      <c r="F573" t="s">
        <v>1469</v>
      </c>
      <c r="G573" t="s">
        <v>1154</v>
      </c>
      <c r="H573" t="s">
        <v>37</v>
      </c>
      <c r="I573" t="s">
        <v>1862</v>
      </c>
      <c r="S573" t="s">
        <v>2503</v>
      </c>
      <c r="Y573" t="s">
        <v>2596</v>
      </c>
    </row>
    <row r="574" spans="3:25" x14ac:dyDescent="0.4">
      <c r="C574" t="s">
        <v>3</v>
      </c>
      <c r="D574" t="s">
        <v>873</v>
      </c>
      <c r="G574" t="s">
        <v>940</v>
      </c>
      <c r="H574" t="s">
        <v>40</v>
      </c>
      <c r="I574" t="s">
        <v>1863</v>
      </c>
      <c r="S574" t="s">
        <v>2503</v>
      </c>
      <c r="Y574" t="s">
        <v>250</v>
      </c>
    </row>
    <row r="575" spans="3:25" x14ac:dyDescent="0.4">
      <c r="C575" t="s">
        <v>4</v>
      </c>
      <c r="D575" t="s">
        <v>874</v>
      </c>
      <c r="E575" t="s">
        <v>1429</v>
      </c>
      <c r="F575" t="s">
        <v>1470</v>
      </c>
      <c r="G575" t="s">
        <v>1864</v>
      </c>
      <c r="H575" t="s">
        <v>39</v>
      </c>
      <c r="I575" t="s">
        <v>1865</v>
      </c>
      <c r="S575" t="s">
        <v>2503</v>
      </c>
      <c r="Y575" t="s">
        <v>254</v>
      </c>
    </row>
    <row r="576" spans="3:25" x14ac:dyDescent="0.4">
      <c r="C576" t="s">
        <v>3</v>
      </c>
      <c r="D576" t="s">
        <v>875</v>
      </c>
      <c r="E576" t="s">
        <v>1430</v>
      </c>
      <c r="F576" t="s">
        <v>1471</v>
      </c>
      <c r="G576" t="s">
        <v>1812</v>
      </c>
      <c r="H576" t="s">
        <v>35</v>
      </c>
      <c r="I576" t="s">
        <v>1866</v>
      </c>
      <c r="S576" t="s">
        <v>2503</v>
      </c>
      <c r="Y576" t="s">
        <v>76</v>
      </c>
    </row>
    <row r="577" spans="3:25" x14ac:dyDescent="0.4">
      <c r="C577" t="s">
        <v>3</v>
      </c>
      <c r="D577" t="s">
        <v>876</v>
      </c>
      <c r="E577" t="s">
        <v>1431</v>
      </c>
      <c r="G577" t="s">
        <v>1867</v>
      </c>
      <c r="H577" t="s">
        <v>35</v>
      </c>
      <c r="I577" t="s">
        <v>1868</v>
      </c>
      <c r="S577" t="s">
        <v>2503</v>
      </c>
      <c r="Y577" t="s">
        <v>251</v>
      </c>
    </row>
    <row r="578" spans="3:25" x14ac:dyDescent="0.4">
      <c r="C578" t="s">
        <v>3</v>
      </c>
      <c r="D578" t="s">
        <v>877</v>
      </c>
      <c r="E578" t="s">
        <v>1432</v>
      </c>
      <c r="F578" t="s">
        <v>1472</v>
      </c>
      <c r="G578" t="s">
        <v>1812</v>
      </c>
      <c r="H578" t="s">
        <v>35</v>
      </c>
      <c r="I578" t="s">
        <v>1869</v>
      </c>
      <c r="S578" t="s">
        <v>2505</v>
      </c>
      <c r="Y578" t="s">
        <v>76</v>
      </c>
    </row>
    <row r="579" spans="3:25" x14ac:dyDescent="0.4">
      <c r="C579" t="s">
        <v>3</v>
      </c>
      <c r="D579" t="s">
        <v>878</v>
      </c>
      <c r="G579" t="s">
        <v>1853</v>
      </c>
      <c r="H579" t="s">
        <v>37</v>
      </c>
      <c r="I579" t="s">
        <v>1870</v>
      </c>
      <c r="S579" t="s">
        <v>2503</v>
      </c>
      <c r="Y579" t="s">
        <v>100</v>
      </c>
    </row>
    <row r="580" spans="3:25" x14ac:dyDescent="0.4">
      <c r="C580" t="s">
        <v>3</v>
      </c>
      <c r="D580" t="s">
        <v>879</v>
      </c>
      <c r="G580" t="s">
        <v>940</v>
      </c>
      <c r="H580" t="s">
        <v>40</v>
      </c>
      <c r="I580" t="s">
        <v>1871</v>
      </c>
      <c r="S580" t="s">
        <v>2503</v>
      </c>
      <c r="Y580" t="s">
        <v>250</v>
      </c>
    </row>
    <row r="581" spans="3:25" x14ac:dyDescent="0.4">
      <c r="C581" t="s">
        <v>3</v>
      </c>
      <c r="D581" t="s">
        <v>880</v>
      </c>
      <c r="E581" t="s">
        <v>1433</v>
      </c>
      <c r="G581" t="s">
        <v>1872</v>
      </c>
      <c r="H581" t="s">
        <v>43</v>
      </c>
      <c r="I581" t="s">
        <v>1873</v>
      </c>
      <c r="S581" t="s">
        <v>2503</v>
      </c>
      <c r="Y581" t="s">
        <v>252</v>
      </c>
    </row>
    <row r="582" spans="3:25" x14ac:dyDescent="0.4">
      <c r="C582" t="s">
        <v>4</v>
      </c>
      <c r="D582" t="s">
        <v>881</v>
      </c>
      <c r="E582" t="s">
        <v>1434</v>
      </c>
      <c r="F582" t="s">
        <v>1473</v>
      </c>
      <c r="G582" t="s">
        <v>1872</v>
      </c>
      <c r="H582" t="s">
        <v>43</v>
      </c>
      <c r="I582" t="s">
        <v>1874</v>
      </c>
      <c r="S582" t="s">
        <v>2503</v>
      </c>
      <c r="Y582" t="s">
        <v>252</v>
      </c>
    </row>
    <row r="583" spans="3:25" x14ac:dyDescent="0.4">
      <c r="C583" t="s">
        <v>3</v>
      </c>
      <c r="D583" t="s">
        <v>882</v>
      </c>
      <c r="G583" t="s">
        <v>1872</v>
      </c>
      <c r="H583" t="s">
        <v>43</v>
      </c>
      <c r="I583" t="s">
        <v>1875</v>
      </c>
      <c r="S583" t="s">
        <v>2503</v>
      </c>
      <c r="Y583" t="s">
        <v>252</v>
      </c>
    </row>
    <row r="584" spans="3:25" x14ac:dyDescent="0.4">
      <c r="C584" t="s">
        <v>4</v>
      </c>
      <c r="D584" t="s">
        <v>883</v>
      </c>
      <c r="E584" t="s">
        <v>1435</v>
      </c>
      <c r="F584" t="s">
        <v>1474</v>
      </c>
      <c r="G584" t="s">
        <v>1004</v>
      </c>
      <c r="H584" t="s">
        <v>43</v>
      </c>
      <c r="I584" t="s">
        <v>1876</v>
      </c>
      <c r="K584" t="s">
        <v>2501</v>
      </c>
      <c r="L584" t="s">
        <v>2109</v>
      </c>
      <c r="M584" t="s">
        <v>2502</v>
      </c>
      <c r="S584" t="s">
        <v>2503</v>
      </c>
      <c r="Y584" t="s">
        <v>252</v>
      </c>
    </row>
    <row r="585" spans="3:25" x14ac:dyDescent="0.4">
      <c r="C585" t="s">
        <v>3</v>
      </c>
      <c r="D585" t="s">
        <v>884</v>
      </c>
      <c r="G585" t="s">
        <v>1877</v>
      </c>
      <c r="H585" t="s">
        <v>37</v>
      </c>
      <c r="I585" t="s">
        <v>1878</v>
      </c>
      <c r="S585" t="s">
        <v>2503</v>
      </c>
      <c r="Y585" t="s">
        <v>253</v>
      </c>
    </row>
    <row r="586" spans="3:25" x14ac:dyDescent="0.4">
      <c r="C586" t="s">
        <v>4</v>
      </c>
      <c r="D586" t="s">
        <v>885</v>
      </c>
      <c r="G586" t="s">
        <v>1853</v>
      </c>
      <c r="H586" t="s">
        <v>37</v>
      </c>
      <c r="I586" t="s">
        <v>1879</v>
      </c>
      <c r="S586" t="s">
        <v>2503</v>
      </c>
      <c r="Y586" t="s">
        <v>253</v>
      </c>
    </row>
    <row r="587" spans="3:25" x14ac:dyDescent="0.4">
      <c r="C587" t="s">
        <v>3</v>
      </c>
      <c r="D587" t="s">
        <v>886</v>
      </c>
      <c r="E587" t="s">
        <v>1436</v>
      </c>
      <c r="G587" t="s">
        <v>1004</v>
      </c>
      <c r="H587" t="s">
        <v>43</v>
      </c>
      <c r="I587" t="s">
        <v>1880</v>
      </c>
      <c r="S587" t="s">
        <v>2503</v>
      </c>
      <c r="Y587" t="s">
        <v>252</v>
      </c>
    </row>
    <row r="588" spans="3:25" x14ac:dyDescent="0.4">
      <c r="C588" t="s">
        <v>3</v>
      </c>
      <c r="D588" t="s">
        <v>887</v>
      </c>
      <c r="G588" t="s">
        <v>1881</v>
      </c>
      <c r="H588" t="s">
        <v>36</v>
      </c>
      <c r="I588" t="s">
        <v>1882</v>
      </c>
      <c r="S588" t="s">
        <v>2503</v>
      </c>
      <c r="Y588" t="s">
        <v>250</v>
      </c>
    </row>
    <row r="589" spans="3:25" x14ac:dyDescent="0.4">
      <c r="C589" t="s">
        <v>3</v>
      </c>
      <c r="D589" t="s">
        <v>888</v>
      </c>
      <c r="F589" t="s">
        <v>1475</v>
      </c>
      <c r="G589" t="s">
        <v>1883</v>
      </c>
      <c r="H589" t="s">
        <v>36</v>
      </c>
      <c r="I589" t="s">
        <v>1884</v>
      </c>
      <c r="S589" t="s">
        <v>2503</v>
      </c>
      <c r="Y589" t="s">
        <v>250</v>
      </c>
    </row>
    <row r="590" spans="3:25" x14ac:dyDescent="0.4">
      <c r="C590" t="s">
        <v>3</v>
      </c>
      <c r="D590" t="s">
        <v>889</v>
      </c>
      <c r="G590" t="s">
        <v>1885</v>
      </c>
      <c r="H590" t="s">
        <v>40</v>
      </c>
      <c r="I590" t="s">
        <v>1886</v>
      </c>
      <c r="S590" t="s">
        <v>2503</v>
      </c>
      <c r="Y590" t="s">
        <v>250</v>
      </c>
    </row>
    <row r="591" spans="3:25" x14ac:dyDescent="0.4">
      <c r="C591" t="s">
        <v>3</v>
      </c>
      <c r="D591" t="s">
        <v>890</v>
      </c>
      <c r="E591" t="s">
        <v>1437</v>
      </c>
      <c r="G591" t="s">
        <v>980</v>
      </c>
      <c r="H591" t="s">
        <v>40</v>
      </c>
      <c r="I591" t="s">
        <v>1887</v>
      </c>
      <c r="S591" t="s">
        <v>2503</v>
      </c>
      <c r="Y591" t="s">
        <v>250</v>
      </c>
    </row>
    <row r="592" spans="3:25" x14ac:dyDescent="0.4">
      <c r="C592" t="s">
        <v>3</v>
      </c>
      <c r="D592" t="s">
        <v>891</v>
      </c>
      <c r="G592" t="s">
        <v>963</v>
      </c>
      <c r="H592" t="s">
        <v>37</v>
      </c>
      <c r="I592" t="s">
        <v>1888</v>
      </c>
      <c r="S592" t="s">
        <v>2503</v>
      </c>
      <c r="Y592" t="s">
        <v>253</v>
      </c>
    </row>
    <row r="593" spans="3:25" x14ac:dyDescent="0.4">
      <c r="C593" t="s">
        <v>3</v>
      </c>
      <c r="D593" t="s">
        <v>892</v>
      </c>
      <c r="G593" t="s">
        <v>1889</v>
      </c>
      <c r="H593" t="s">
        <v>48</v>
      </c>
      <c r="I593" t="s">
        <v>1890</v>
      </c>
      <c r="S593" t="s">
        <v>2503</v>
      </c>
      <c r="Y593" t="s">
        <v>250</v>
      </c>
    </row>
    <row r="594" spans="3:25" x14ac:dyDescent="0.4">
      <c r="C594" t="s">
        <v>3</v>
      </c>
      <c r="D594" t="s">
        <v>893</v>
      </c>
      <c r="G594" t="s">
        <v>1889</v>
      </c>
      <c r="H594" t="s">
        <v>48</v>
      </c>
      <c r="I594" t="s">
        <v>1891</v>
      </c>
      <c r="S594" t="s">
        <v>2503</v>
      </c>
      <c r="Y594" t="s">
        <v>250</v>
      </c>
    </row>
    <row r="595" spans="3:25" x14ac:dyDescent="0.4">
      <c r="C595" t="s">
        <v>3</v>
      </c>
      <c r="D595" t="s">
        <v>894</v>
      </c>
      <c r="E595" t="s">
        <v>1438</v>
      </c>
      <c r="G595" t="s">
        <v>1892</v>
      </c>
      <c r="H595" t="s">
        <v>1606</v>
      </c>
      <c r="I595" t="s">
        <v>1893</v>
      </c>
      <c r="S595" t="s">
        <v>2503</v>
      </c>
      <c r="Y595" t="s">
        <v>254</v>
      </c>
    </row>
    <row r="596" spans="3:25" x14ac:dyDescent="0.4">
      <c r="C596" t="s">
        <v>3</v>
      </c>
      <c r="D596" t="s">
        <v>895</v>
      </c>
      <c r="E596" t="s">
        <v>1439</v>
      </c>
      <c r="F596" t="s">
        <v>1476</v>
      </c>
      <c r="G596" t="s">
        <v>1812</v>
      </c>
      <c r="H596" t="s">
        <v>35</v>
      </c>
      <c r="I596" t="s">
        <v>1894</v>
      </c>
      <c r="S596" t="s">
        <v>2505</v>
      </c>
      <c r="Y596" t="s">
        <v>251</v>
      </c>
    </row>
    <row r="597" spans="3:25" x14ac:dyDescent="0.4">
      <c r="C597" t="s">
        <v>4</v>
      </c>
      <c r="D597" t="s">
        <v>896</v>
      </c>
      <c r="E597" t="s">
        <v>1440</v>
      </c>
      <c r="F597" t="s">
        <v>1477</v>
      </c>
      <c r="G597" t="s">
        <v>1812</v>
      </c>
      <c r="H597" t="s">
        <v>35</v>
      </c>
      <c r="I597" t="s">
        <v>1895</v>
      </c>
      <c r="S597" t="s">
        <v>2505</v>
      </c>
      <c r="V597" t="s">
        <v>2593</v>
      </c>
      <c r="Y597" t="s">
        <v>251</v>
      </c>
    </row>
    <row r="598" spans="3:25" x14ac:dyDescent="0.4">
      <c r="C598" t="s">
        <v>3</v>
      </c>
      <c r="D598" t="s">
        <v>897</v>
      </c>
      <c r="E598" t="s">
        <v>1441</v>
      </c>
      <c r="F598" t="s">
        <v>1478</v>
      </c>
      <c r="G598" t="s">
        <v>1812</v>
      </c>
      <c r="H598" t="s">
        <v>35</v>
      </c>
      <c r="I598" t="s">
        <v>1896</v>
      </c>
      <c r="S598" t="s">
        <v>2505</v>
      </c>
      <c r="Y598" t="s">
        <v>251</v>
      </c>
    </row>
    <row r="599" spans="3:25" x14ac:dyDescent="0.4">
      <c r="C599" t="s">
        <v>3</v>
      </c>
      <c r="D599" t="s">
        <v>898</v>
      </c>
      <c r="E599" t="s">
        <v>1442</v>
      </c>
      <c r="F599" t="s">
        <v>1479</v>
      </c>
      <c r="G599" t="s">
        <v>1897</v>
      </c>
      <c r="H599" t="s">
        <v>37</v>
      </c>
      <c r="I599" t="s">
        <v>1898</v>
      </c>
      <c r="S599" t="s">
        <v>2503</v>
      </c>
      <c r="Y599" t="s">
        <v>253</v>
      </c>
    </row>
    <row r="600" spans="3:25" x14ac:dyDescent="0.4">
      <c r="C600" t="s">
        <v>3</v>
      </c>
      <c r="D600" t="s">
        <v>899</v>
      </c>
      <c r="G600" t="s">
        <v>1899</v>
      </c>
      <c r="H600" t="s">
        <v>40</v>
      </c>
      <c r="I600" t="s">
        <v>1900</v>
      </c>
      <c r="S600" t="s">
        <v>2505</v>
      </c>
      <c r="Y600" t="s">
        <v>250</v>
      </c>
    </row>
    <row r="601" spans="3:25" x14ac:dyDescent="0.4">
      <c r="C601" t="s">
        <v>3</v>
      </c>
      <c r="D601" t="s">
        <v>900</v>
      </c>
      <c r="G601" t="s">
        <v>940</v>
      </c>
      <c r="H601" t="s">
        <v>40</v>
      </c>
      <c r="I601" t="s">
        <v>1901</v>
      </c>
      <c r="S601" t="s">
        <v>2505</v>
      </c>
      <c r="Y601" t="s">
        <v>250</v>
      </c>
    </row>
    <row r="602" spans="3:25" x14ac:dyDescent="0.4">
      <c r="C602" t="s">
        <v>3</v>
      </c>
      <c r="D602" t="s">
        <v>901</v>
      </c>
      <c r="E602" t="s">
        <v>1443</v>
      </c>
      <c r="G602" t="s">
        <v>1423</v>
      </c>
      <c r="H602" t="s">
        <v>35</v>
      </c>
      <c r="I602" t="s">
        <v>1902</v>
      </c>
      <c r="S602" t="s">
        <v>2503</v>
      </c>
      <c r="Y602" t="s">
        <v>29</v>
      </c>
    </row>
    <row r="603" spans="3:25" x14ac:dyDescent="0.4">
      <c r="C603" t="s">
        <v>4</v>
      </c>
      <c r="D603" t="s">
        <v>902</v>
      </c>
      <c r="E603" t="s">
        <v>1444</v>
      </c>
      <c r="F603" t="s">
        <v>1480</v>
      </c>
      <c r="G603" t="s">
        <v>1423</v>
      </c>
      <c r="H603" t="s">
        <v>35</v>
      </c>
      <c r="I603" t="s">
        <v>1903</v>
      </c>
      <c r="J603" t="s">
        <v>2075</v>
      </c>
      <c r="S603" t="s">
        <v>2512</v>
      </c>
      <c r="Y603" t="s">
        <v>29</v>
      </c>
    </row>
    <row r="604" spans="3:25" x14ac:dyDescent="0.4">
      <c r="C604" t="s">
        <v>3</v>
      </c>
      <c r="D604" t="s">
        <v>903</v>
      </c>
      <c r="E604" t="s">
        <v>1445</v>
      </c>
      <c r="F604" t="s">
        <v>1481</v>
      </c>
      <c r="G604" t="s">
        <v>1827</v>
      </c>
      <c r="H604" t="s">
        <v>1606</v>
      </c>
      <c r="I604" t="s">
        <v>1904</v>
      </c>
      <c r="S604" t="s">
        <v>2503</v>
      </c>
      <c r="Y604" t="s">
        <v>254</v>
      </c>
    </row>
    <row r="605" spans="3:25" x14ac:dyDescent="0.4">
      <c r="C605" t="s">
        <v>4</v>
      </c>
      <c r="D605" t="s">
        <v>904</v>
      </c>
      <c r="E605" t="s">
        <v>1446</v>
      </c>
      <c r="G605" t="s">
        <v>1504</v>
      </c>
      <c r="H605" t="s">
        <v>1606</v>
      </c>
      <c r="I605" t="s">
        <v>1905</v>
      </c>
      <c r="S605" t="s">
        <v>2503</v>
      </c>
      <c r="Y605" t="s">
        <v>254</v>
      </c>
    </row>
    <row r="606" spans="3:25" x14ac:dyDescent="0.4">
      <c r="C606" t="s">
        <v>3</v>
      </c>
      <c r="D606" t="s">
        <v>905</v>
      </c>
      <c r="G606" t="s">
        <v>1827</v>
      </c>
      <c r="H606" t="s">
        <v>1606</v>
      </c>
      <c r="I606" t="s">
        <v>1906</v>
      </c>
      <c r="S606" t="s">
        <v>2503</v>
      </c>
      <c r="Y606" t="s">
        <v>254</v>
      </c>
    </row>
    <row r="607" spans="3:25" x14ac:dyDescent="0.4">
      <c r="C607" t="s">
        <v>4</v>
      </c>
      <c r="D607" t="s">
        <v>906</v>
      </c>
      <c r="E607" t="s">
        <v>1447</v>
      </c>
      <c r="G607" t="s">
        <v>1907</v>
      </c>
      <c r="H607" t="s">
        <v>1606</v>
      </c>
      <c r="I607" t="s">
        <v>1936</v>
      </c>
      <c r="S607" t="s">
        <v>2503</v>
      </c>
      <c r="Y607" t="s">
        <v>254</v>
      </c>
    </row>
    <row r="608" spans="3:25" x14ac:dyDescent="0.4">
      <c r="C608" t="s">
        <v>3</v>
      </c>
      <c r="D608" t="s">
        <v>907</v>
      </c>
      <c r="E608" t="s">
        <v>1448</v>
      </c>
      <c r="F608" t="s">
        <v>1482</v>
      </c>
      <c r="G608" t="s">
        <v>966</v>
      </c>
      <c r="H608" t="s">
        <v>38</v>
      </c>
      <c r="I608" t="s">
        <v>1908</v>
      </c>
      <c r="S608" t="s">
        <v>2503</v>
      </c>
      <c r="Y608" t="s">
        <v>100</v>
      </c>
    </row>
    <row r="609" spans="3:25" x14ac:dyDescent="0.4">
      <c r="C609" t="s">
        <v>3</v>
      </c>
      <c r="D609" t="s">
        <v>908</v>
      </c>
      <c r="E609" t="s">
        <v>1449</v>
      </c>
      <c r="F609" t="s">
        <v>1483</v>
      </c>
      <c r="G609" t="s">
        <v>966</v>
      </c>
      <c r="H609" t="s">
        <v>38</v>
      </c>
      <c r="I609" t="s">
        <v>1909</v>
      </c>
      <c r="S609" t="s">
        <v>2503</v>
      </c>
      <c r="Y609" t="s">
        <v>100</v>
      </c>
    </row>
    <row r="610" spans="3:25" x14ac:dyDescent="0.4">
      <c r="C610" t="s">
        <v>3</v>
      </c>
      <c r="D610" t="s">
        <v>909</v>
      </c>
      <c r="G610" t="s">
        <v>1827</v>
      </c>
      <c r="H610" t="s">
        <v>1606</v>
      </c>
      <c r="I610" t="s">
        <v>1910</v>
      </c>
      <c r="S610" t="s">
        <v>2503</v>
      </c>
      <c r="Y610" t="s">
        <v>254</v>
      </c>
    </row>
    <row r="611" spans="3:25" x14ac:dyDescent="0.4">
      <c r="C611" t="s">
        <v>4</v>
      </c>
      <c r="D611" t="s">
        <v>910</v>
      </c>
      <c r="G611" t="s">
        <v>1827</v>
      </c>
      <c r="H611" t="s">
        <v>1606</v>
      </c>
      <c r="I611" t="s">
        <v>1911</v>
      </c>
      <c r="S611" t="s">
        <v>2503</v>
      </c>
      <c r="Y611" t="s">
        <v>254</v>
      </c>
    </row>
    <row r="612" spans="3:25" x14ac:dyDescent="0.4">
      <c r="C612" t="s">
        <v>3</v>
      </c>
      <c r="D612" t="s">
        <v>911</v>
      </c>
      <c r="E612" t="s">
        <v>1450</v>
      </c>
      <c r="G612" t="s">
        <v>1912</v>
      </c>
      <c r="H612" t="s">
        <v>39</v>
      </c>
      <c r="I612" t="s">
        <v>1913</v>
      </c>
      <c r="S612" t="s">
        <v>2503</v>
      </c>
      <c r="Y612" t="s">
        <v>254</v>
      </c>
    </row>
    <row r="613" spans="3:25" x14ac:dyDescent="0.4">
      <c r="C613" t="s">
        <v>4</v>
      </c>
      <c r="D613" t="s">
        <v>912</v>
      </c>
      <c r="G613" t="s">
        <v>1914</v>
      </c>
      <c r="H613" t="s">
        <v>39</v>
      </c>
      <c r="I613" t="s">
        <v>1915</v>
      </c>
      <c r="S613" t="s">
        <v>2503</v>
      </c>
      <c r="Y613" t="s">
        <v>254</v>
      </c>
    </row>
    <row r="614" spans="3:25" x14ac:dyDescent="0.4">
      <c r="C614" t="s">
        <v>3</v>
      </c>
      <c r="D614" t="s">
        <v>913</v>
      </c>
      <c r="E614" t="s">
        <v>1451</v>
      </c>
      <c r="G614" t="s">
        <v>1423</v>
      </c>
      <c r="H614" t="s">
        <v>35</v>
      </c>
      <c r="I614" t="s">
        <v>1916</v>
      </c>
      <c r="S614" t="s">
        <v>2505</v>
      </c>
      <c r="Y614" t="s">
        <v>251</v>
      </c>
    </row>
    <row r="615" spans="3:25" x14ac:dyDescent="0.4">
      <c r="C615" t="s">
        <v>3</v>
      </c>
      <c r="D615" t="s">
        <v>914</v>
      </c>
      <c r="G615" t="s">
        <v>980</v>
      </c>
      <c r="H615" t="s">
        <v>40</v>
      </c>
      <c r="I615" t="s">
        <v>1917</v>
      </c>
      <c r="S615" t="s">
        <v>2503</v>
      </c>
      <c r="Y615" t="s">
        <v>250</v>
      </c>
    </row>
    <row r="616" spans="3:25" x14ac:dyDescent="0.4">
      <c r="C616" t="s">
        <v>3</v>
      </c>
      <c r="D616" t="s">
        <v>915</v>
      </c>
      <c r="G616" t="s">
        <v>1004</v>
      </c>
      <c r="H616" t="s">
        <v>43</v>
      </c>
      <c r="I616" t="s">
        <v>1918</v>
      </c>
      <c r="S616" t="s">
        <v>2503</v>
      </c>
      <c r="Y616" t="s">
        <v>252</v>
      </c>
    </row>
    <row r="617" spans="3:25" x14ac:dyDescent="0.4">
      <c r="C617" t="s">
        <v>3</v>
      </c>
      <c r="D617" t="s">
        <v>916</v>
      </c>
      <c r="G617" t="s">
        <v>963</v>
      </c>
      <c r="H617" t="s">
        <v>37</v>
      </c>
      <c r="I617" t="s">
        <v>1919</v>
      </c>
      <c r="S617" t="s">
        <v>2503</v>
      </c>
      <c r="Y617" t="s">
        <v>253</v>
      </c>
    </row>
    <row r="618" spans="3:25" x14ac:dyDescent="0.4">
      <c r="C618" t="s">
        <v>3</v>
      </c>
      <c r="D618" t="s">
        <v>917</v>
      </c>
      <c r="G618" t="s">
        <v>980</v>
      </c>
      <c r="H618" t="s">
        <v>40</v>
      </c>
      <c r="I618" t="s">
        <v>1920</v>
      </c>
      <c r="S618" t="s">
        <v>2503</v>
      </c>
      <c r="Y618" t="s">
        <v>250</v>
      </c>
    </row>
    <row r="619" spans="3:25" x14ac:dyDescent="0.4">
      <c r="C619" t="s">
        <v>4</v>
      </c>
      <c r="D619" t="s">
        <v>918</v>
      </c>
      <c r="G619" t="s">
        <v>1853</v>
      </c>
      <c r="H619" t="s">
        <v>37</v>
      </c>
      <c r="I619" t="s">
        <v>1921</v>
      </c>
      <c r="S619" t="s">
        <v>2503</v>
      </c>
      <c r="Y619" t="s">
        <v>253</v>
      </c>
    </row>
    <row r="620" spans="3:25" x14ac:dyDescent="0.4">
      <c r="C620" t="s">
        <v>3</v>
      </c>
      <c r="D620" t="s">
        <v>919</v>
      </c>
      <c r="G620" t="s">
        <v>963</v>
      </c>
      <c r="H620" t="s">
        <v>37</v>
      </c>
      <c r="I620" t="s">
        <v>1922</v>
      </c>
      <c r="S620" t="s">
        <v>2503</v>
      </c>
      <c r="Y620" t="s">
        <v>100</v>
      </c>
    </row>
    <row r="621" spans="3:25" x14ac:dyDescent="0.4">
      <c r="C621" t="s">
        <v>3</v>
      </c>
      <c r="D621" t="s">
        <v>920</v>
      </c>
      <c r="E621" t="s">
        <v>1452</v>
      </c>
      <c r="F621" t="s">
        <v>1484</v>
      </c>
      <c r="G621" t="s">
        <v>963</v>
      </c>
      <c r="H621" t="s">
        <v>37</v>
      </c>
      <c r="I621" t="s">
        <v>1923</v>
      </c>
      <c r="S621" t="s">
        <v>2503</v>
      </c>
      <c r="Y621" t="s">
        <v>100</v>
      </c>
    </row>
    <row r="622" spans="3:25" x14ac:dyDescent="0.4">
      <c r="C622" t="s">
        <v>3</v>
      </c>
      <c r="D622" t="s">
        <v>921</v>
      </c>
      <c r="E622" t="s">
        <v>1453</v>
      </c>
      <c r="G622" t="s">
        <v>1423</v>
      </c>
      <c r="H622" t="s">
        <v>35</v>
      </c>
      <c r="I622" t="s">
        <v>1924</v>
      </c>
      <c r="S622" t="s">
        <v>2503</v>
      </c>
      <c r="Y622" t="s">
        <v>251</v>
      </c>
    </row>
    <row r="623" spans="3:25" x14ac:dyDescent="0.4">
      <c r="C623" t="s">
        <v>4</v>
      </c>
      <c r="D623" t="s">
        <v>922</v>
      </c>
      <c r="G623" t="s">
        <v>1423</v>
      </c>
      <c r="H623" t="s">
        <v>35</v>
      </c>
      <c r="I623" t="s">
        <v>1925</v>
      </c>
      <c r="S623" t="s">
        <v>2503</v>
      </c>
      <c r="Y623" t="s">
        <v>252</v>
      </c>
    </row>
  </sheetData>
  <phoneticPr fontId="7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49D85C5-0EB6-4BF0-9968-DEC75F938AF0}">
          <x14:formula1>
            <xm:f>Source!$D:$D</xm:f>
          </x14:formula1>
          <xm:sqref>C1:C1048576</xm:sqref>
        </x14:dataValidation>
        <x14:dataValidation type="list" allowBlank="1" showInputMessage="1" showErrorMessage="1" xr:uid="{CF954422-17B1-4591-BA7C-5578C7F9FFE6}">
          <x14:formula1>
            <xm:f>Source!$F:$F</xm:f>
          </x14:formula1>
          <xm:sqref>H1:H1048576</xm:sqref>
        </x14:dataValidation>
        <x14:dataValidation type="list" allowBlank="1" showInputMessage="1" showErrorMessage="1" xr:uid="{1BDF9954-415F-4E9F-AE20-BE26D32E8821}">
          <x14:formula1>
            <xm:f>Source!$W:$W</xm:f>
          </x14:formula1>
          <xm:sqref>Y1:Y1048576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33C0C-D6A4-4D77-8F6B-467DCD39232A}">
  <sheetPr codeName="Sheet4"/>
  <dimension ref="B1:F25"/>
  <sheetViews>
    <sheetView workbookViewId="0">
      <selection activeCell="B15" sqref="B15:C15"/>
    </sheetView>
  </sheetViews>
  <sheetFormatPr defaultRowHeight="14.6" x14ac:dyDescent="0.4"/>
  <cols>
    <col min="1" max="1" width="2" customWidth="1"/>
    <col min="2" max="2" width="20.921875" customWidth="1"/>
    <col min="3" max="3" width="31.3046875" customWidth="1"/>
    <col min="4" max="5" width="28" customWidth="1"/>
    <col min="6" max="6" width="2.4609375" customWidth="1"/>
  </cols>
  <sheetData>
    <row r="1" spans="2:6" x14ac:dyDescent="0.4">
      <c r="B1" s="11"/>
      <c r="C1" s="11"/>
      <c r="D1" s="11"/>
      <c r="E1" s="11"/>
      <c r="F1" s="11"/>
    </row>
    <row r="2" spans="2:6" x14ac:dyDescent="0.4">
      <c r="B2" s="13" t="s">
        <v>170</v>
      </c>
      <c r="C2" s="13"/>
      <c r="D2" s="13"/>
      <c r="E2" s="13"/>
      <c r="F2" s="11"/>
    </row>
    <row r="3" spans="2:6" x14ac:dyDescent="0.4">
      <c r="B3" s="11"/>
      <c r="C3" s="11"/>
      <c r="D3" s="11"/>
      <c r="E3" s="11"/>
      <c r="F3" s="11"/>
    </row>
    <row r="4" spans="2:6" x14ac:dyDescent="0.4">
      <c r="B4" s="12" t="s">
        <v>125</v>
      </c>
      <c r="C4" s="14" t="s">
        <v>166</v>
      </c>
      <c r="D4" s="11"/>
      <c r="E4" s="11"/>
      <c r="F4" s="11"/>
    </row>
    <row r="5" spans="2:6" x14ac:dyDescent="0.4">
      <c r="B5" s="12" t="s">
        <v>127</v>
      </c>
      <c r="C5" s="14" t="s">
        <v>168</v>
      </c>
      <c r="D5" s="11"/>
      <c r="E5" s="11"/>
      <c r="F5" s="11"/>
    </row>
    <row r="6" spans="2:6" x14ac:dyDescent="0.4">
      <c r="B6" s="12" t="s">
        <v>151</v>
      </c>
      <c r="C6" s="14" t="s">
        <v>128</v>
      </c>
      <c r="D6" s="11"/>
      <c r="E6" s="11"/>
      <c r="F6" s="11"/>
    </row>
    <row r="7" spans="2:6" x14ac:dyDescent="0.4">
      <c r="B7" s="12" t="s">
        <v>241</v>
      </c>
      <c r="C7" s="14" t="s">
        <v>248</v>
      </c>
      <c r="D7" s="11"/>
      <c r="E7" s="11"/>
      <c r="F7" s="11"/>
    </row>
    <row r="8" spans="2:6" x14ac:dyDescent="0.4">
      <c r="B8" s="12" t="s">
        <v>3</v>
      </c>
      <c r="C8" s="14" t="s">
        <v>156</v>
      </c>
      <c r="D8" s="11"/>
      <c r="E8" s="11"/>
      <c r="F8" s="11"/>
    </row>
    <row r="9" spans="2:6" x14ac:dyDescent="0.4">
      <c r="B9" s="12" t="s">
        <v>4</v>
      </c>
      <c r="C9" s="14" t="s">
        <v>156</v>
      </c>
      <c r="D9" s="11"/>
      <c r="E9" s="11"/>
      <c r="F9" s="11"/>
    </row>
    <row r="10" spans="2:6" x14ac:dyDescent="0.4">
      <c r="B10" s="12" t="s">
        <v>129</v>
      </c>
      <c r="C10" s="14" t="s">
        <v>155</v>
      </c>
      <c r="D10" s="11"/>
      <c r="E10" s="11"/>
      <c r="F10" s="11"/>
    </row>
    <row r="11" spans="2:6" x14ac:dyDescent="0.4">
      <c r="B11" s="12" t="s">
        <v>150</v>
      </c>
      <c r="C11" s="20" t="s">
        <v>154</v>
      </c>
      <c r="D11" s="11"/>
      <c r="E11" s="11"/>
      <c r="F11" s="11"/>
    </row>
    <row r="12" spans="2:6" x14ac:dyDescent="0.4">
      <c r="B12" s="12" t="s">
        <v>153</v>
      </c>
      <c r="C12" s="14" t="s">
        <v>167</v>
      </c>
      <c r="D12" s="11"/>
      <c r="E12" s="11"/>
      <c r="F12" s="11"/>
    </row>
    <row r="13" spans="2:6" x14ac:dyDescent="0.4">
      <c r="B13" s="12" t="s">
        <v>182</v>
      </c>
      <c r="C13" s="14" t="s">
        <v>184</v>
      </c>
      <c r="D13" s="11"/>
      <c r="E13" s="11"/>
      <c r="F13" s="11"/>
    </row>
    <row r="14" spans="2:6" ht="15" thickBot="1" x14ac:dyDescent="0.45">
      <c r="B14" s="12"/>
      <c r="C14" s="21"/>
      <c r="D14" s="11"/>
      <c r="E14" s="11"/>
      <c r="F14" s="11"/>
    </row>
    <row r="15" spans="2:6" ht="15" thickBot="1" x14ac:dyDescent="0.45">
      <c r="B15" s="12" t="s">
        <v>152</v>
      </c>
      <c r="C15" s="28" t="s">
        <v>259</v>
      </c>
      <c r="D15" s="29"/>
      <c r="E15" s="30"/>
      <c r="F15" s="11"/>
    </row>
    <row r="16" spans="2:6" x14ac:dyDescent="0.4">
      <c r="B16" s="12"/>
      <c r="C16" s="21"/>
      <c r="D16" s="11"/>
      <c r="E16" s="11"/>
      <c r="F16" s="11"/>
    </row>
    <row r="17" spans="2:6" ht="15" thickBot="1" x14ac:dyDescent="0.45">
      <c r="B17" s="11"/>
      <c r="C17" s="11"/>
      <c r="D17" s="11"/>
      <c r="E17" s="11"/>
      <c r="F17" s="11"/>
    </row>
    <row r="18" spans="2:6" ht="44.6" customHeight="1" thickBot="1" x14ac:dyDescent="0.45">
      <c r="B18" s="11"/>
      <c r="C18" s="22" t="s">
        <v>119</v>
      </c>
      <c r="D18" s="22" t="s">
        <v>120</v>
      </c>
      <c r="E18" s="22" t="s">
        <v>121</v>
      </c>
      <c r="F18" s="11"/>
    </row>
    <row r="19" spans="2:6" x14ac:dyDescent="0.4">
      <c r="B19" s="11"/>
      <c r="C19" s="11"/>
      <c r="D19" s="11"/>
      <c r="E19" s="11"/>
      <c r="F19" s="11"/>
    </row>
    <row r="20" spans="2:6" ht="15" thickBot="1" x14ac:dyDescent="0.45"/>
    <row r="21" spans="2:6" x14ac:dyDescent="0.4">
      <c r="B21" s="26" t="s">
        <v>122</v>
      </c>
      <c r="C21" s="26" t="s">
        <v>123</v>
      </c>
    </row>
    <row r="22" spans="2:6" ht="15" thickBot="1" x14ac:dyDescent="0.45">
      <c r="B22" s="27"/>
      <c r="C22" s="27"/>
    </row>
    <row r="23" spans="2:6" ht="15" thickBot="1" x14ac:dyDescent="0.45"/>
    <row r="24" spans="2:6" ht="15" thickBot="1" x14ac:dyDescent="0.45">
      <c r="B24" s="23" t="s">
        <v>8</v>
      </c>
      <c r="C24" s="24" t="s">
        <v>11</v>
      </c>
      <c r="D24" s="24" t="s">
        <v>12</v>
      </c>
      <c r="E24" s="25" t="s">
        <v>81</v>
      </c>
    </row>
    <row r="25" spans="2:6" x14ac:dyDescent="0.4">
      <c r="B25" s="17" t="s">
        <v>124</v>
      </c>
      <c r="C25" s="18"/>
      <c r="D25" s="18"/>
      <c r="E25" s="18"/>
    </row>
  </sheetData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0DD7E-2DB9-4B8F-AF1B-8E05D2CBF3CA}">
  <sheetPr>
    <tabColor theme="5" tint="0.39997558519241921"/>
  </sheetPr>
  <dimension ref="A1:AU230"/>
  <sheetViews>
    <sheetView workbookViewId="0">
      <selection activeCell="G2" sqref="G2"/>
    </sheetView>
  </sheetViews>
  <sheetFormatPr defaultRowHeight="14.6" x14ac:dyDescent="0.4"/>
  <cols>
    <col min="1" max="10" width="19.3828125" style="16" customWidth="1"/>
    <col min="11" max="11" width="21.84375" style="16" customWidth="1"/>
    <col min="12" max="13" width="19.3828125" style="16" customWidth="1"/>
    <col min="14" max="14" width="21.69140625" style="16" customWidth="1"/>
    <col min="15" max="24" width="19.3828125" style="16" customWidth="1"/>
    <col min="25" max="25" width="24.3046875" style="35" customWidth="1"/>
    <col min="26" max="26" width="19.3828125" style="16" customWidth="1"/>
    <col min="27" max="27" width="39.53515625" style="16" customWidth="1"/>
    <col min="28" max="28" width="27.07421875" style="16" customWidth="1"/>
    <col min="29" max="36" width="19.3828125" style="16" customWidth="1"/>
    <col min="37" max="37" width="25.3046875" style="16" customWidth="1"/>
    <col min="38" max="39" width="19.3828125" style="16" customWidth="1"/>
    <col min="40" max="40" width="29.15234375" style="16" customWidth="1"/>
    <col min="41" max="42" width="19.3828125" style="16" customWidth="1"/>
    <col min="43" max="43" width="19.69140625" style="16" customWidth="1"/>
    <col min="44" max="44" width="31" style="16" customWidth="1"/>
    <col min="45" max="45" width="19.61328125" style="16" customWidth="1"/>
    <col min="46" max="46" width="23.921875" style="16" customWidth="1"/>
    <col min="47" max="47" width="19" style="16" customWidth="1"/>
    <col min="48" max="16384" width="9.23046875" style="16"/>
  </cols>
  <sheetData>
    <row r="1" spans="1:47" s="32" customFormat="1" ht="43.75" x14ac:dyDescent="0.4">
      <c r="A1" s="32" t="s">
        <v>152</v>
      </c>
      <c r="B1" s="32" t="s">
        <v>125</v>
      </c>
      <c r="C1" s="32" t="s">
        <v>127</v>
      </c>
      <c r="D1" s="32" t="s">
        <v>151</v>
      </c>
      <c r="E1" s="32" t="s">
        <v>241</v>
      </c>
      <c r="F1" s="32" t="s">
        <v>194</v>
      </c>
      <c r="G1" s="32" t="s">
        <v>4</v>
      </c>
      <c r="H1" s="32" t="s">
        <v>129</v>
      </c>
      <c r="I1" s="32" t="s">
        <v>12</v>
      </c>
      <c r="J1" s="32" t="s">
        <v>153</v>
      </c>
      <c r="K1" s="32" t="s">
        <v>182</v>
      </c>
      <c r="L1" s="32" t="s">
        <v>185</v>
      </c>
      <c r="M1" s="32" t="s">
        <v>186</v>
      </c>
      <c r="N1" s="32" t="s">
        <v>188</v>
      </c>
      <c r="O1" s="32" t="s">
        <v>187</v>
      </c>
      <c r="P1" s="32" t="s">
        <v>189</v>
      </c>
      <c r="Q1" s="32" t="s">
        <v>192</v>
      </c>
      <c r="R1" s="32" t="s">
        <v>191</v>
      </c>
      <c r="S1" s="32" t="s">
        <v>190</v>
      </c>
      <c r="T1" s="32" t="s">
        <v>213</v>
      </c>
      <c r="U1" s="32" t="s">
        <v>216</v>
      </c>
      <c r="V1" s="32" t="s">
        <v>193</v>
      </c>
      <c r="W1" s="32" t="s">
        <v>209</v>
      </c>
      <c r="X1" s="32" t="s">
        <v>195</v>
      </c>
      <c r="Y1" s="34" t="s">
        <v>214</v>
      </c>
      <c r="Z1" s="32" t="s">
        <v>215</v>
      </c>
      <c r="AA1" s="32" t="s">
        <v>217</v>
      </c>
      <c r="AB1" s="32" t="s">
        <v>218</v>
      </c>
      <c r="AC1" s="32" t="s">
        <v>219</v>
      </c>
      <c r="AD1" s="32" t="s">
        <v>176</v>
      </c>
      <c r="AE1" s="32" t="s">
        <v>220</v>
      </c>
      <c r="AF1" s="32" t="s">
        <v>221</v>
      </c>
      <c r="AG1" s="32" t="s">
        <v>222</v>
      </c>
      <c r="AH1" s="32" t="s">
        <v>223</v>
      </c>
      <c r="AI1" s="32" t="s">
        <v>224</v>
      </c>
      <c r="AJ1" s="32" t="s">
        <v>225</v>
      </c>
      <c r="AK1" s="32" t="s">
        <v>290</v>
      </c>
      <c r="AL1" s="32" t="s">
        <v>227</v>
      </c>
      <c r="AM1" s="32" t="s">
        <v>175</v>
      </c>
      <c r="AN1" s="32" t="s">
        <v>257</v>
      </c>
      <c r="AO1" s="32" t="s">
        <v>293</v>
      </c>
      <c r="AP1" s="32" t="s">
        <v>179</v>
      </c>
      <c r="AQ1" s="32" t="s">
        <v>256</v>
      </c>
      <c r="AR1" s="32" t="s">
        <v>180</v>
      </c>
      <c r="AS1" s="32" t="s">
        <v>181</v>
      </c>
      <c r="AT1" s="32" t="s">
        <v>278</v>
      </c>
      <c r="AU1" s="32" t="s">
        <v>289</v>
      </c>
    </row>
    <row r="2" spans="1:47" x14ac:dyDescent="0.4">
      <c r="A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Win-23_01_()-()</v>
      </c>
      <c r="B2" s="16" t="s">
        <v>157</v>
      </c>
      <c r="C2" s="16" t="s">
        <v>2628</v>
      </c>
      <c r="D2" s="93" t="s">
        <v>2601</v>
      </c>
    </row>
    <row r="3" spans="1:47" x14ac:dyDescent="0.4">
      <c r="A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Win-23_02_()-()</v>
      </c>
      <c r="B3" s="16" t="s">
        <v>157</v>
      </c>
      <c r="C3" s="16" t="s">
        <v>2628</v>
      </c>
      <c r="D3" s="93" t="s">
        <v>86</v>
      </c>
    </row>
    <row r="4" spans="1:47" x14ac:dyDescent="0.4">
      <c r="A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Win-23_03_()-()</v>
      </c>
      <c r="B4" s="16" t="s">
        <v>157</v>
      </c>
      <c r="C4" s="16" t="s">
        <v>2628</v>
      </c>
      <c r="D4" s="93" t="s">
        <v>2602</v>
      </c>
    </row>
    <row r="5" spans="1:47" x14ac:dyDescent="0.4">
      <c r="A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Win-23_04_()-()</v>
      </c>
      <c r="B5" s="16" t="s">
        <v>157</v>
      </c>
      <c r="C5" s="16" t="s">
        <v>2628</v>
      </c>
      <c r="D5" s="93" t="s">
        <v>2603</v>
      </c>
    </row>
    <row r="6" spans="1:47" x14ac:dyDescent="0.4">
      <c r="A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Win-23_05_()-()</v>
      </c>
      <c r="B6" s="16" t="s">
        <v>157</v>
      </c>
      <c r="C6" s="16" t="s">
        <v>2628</v>
      </c>
      <c r="D6" s="93" t="s">
        <v>2604</v>
      </c>
    </row>
    <row r="7" spans="1:47" x14ac:dyDescent="0.4">
      <c r="A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Win-23_06_()-()</v>
      </c>
      <c r="B7" s="16" t="s">
        <v>157</v>
      </c>
      <c r="C7" s="16" t="s">
        <v>2628</v>
      </c>
      <c r="D7" s="93" t="s">
        <v>2605</v>
      </c>
    </row>
    <row r="8" spans="1:47" x14ac:dyDescent="0.4">
      <c r="A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Win-23_07_()-()</v>
      </c>
      <c r="B8" s="16" t="s">
        <v>157</v>
      </c>
      <c r="C8" s="16" t="s">
        <v>2628</v>
      </c>
      <c r="D8" s="93" t="s">
        <v>2606</v>
      </c>
    </row>
    <row r="9" spans="1:47" x14ac:dyDescent="0.4">
      <c r="A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Win-23_08_()-()</v>
      </c>
      <c r="B9" s="16" t="s">
        <v>157</v>
      </c>
      <c r="C9" s="16" t="s">
        <v>2628</v>
      </c>
      <c r="D9" s="93" t="s">
        <v>2607</v>
      </c>
    </row>
    <row r="10" spans="1:47" x14ac:dyDescent="0.4">
      <c r="A1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Win-23_09_()-()</v>
      </c>
      <c r="B10" s="16" t="s">
        <v>157</v>
      </c>
      <c r="C10" s="16" t="s">
        <v>2628</v>
      </c>
      <c r="D10" s="93" t="s">
        <v>2608</v>
      </c>
    </row>
    <row r="11" spans="1:47" x14ac:dyDescent="0.4">
      <c r="A1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Win-23_10_()-()</v>
      </c>
      <c r="B11" s="16" t="s">
        <v>157</v>
      </c>
      <c r="C11" s="16" t="s">
        <v>2628</v>
      </c>
      <c r="D11" s="93" t="s">
        <v>2610</v>
      </c>
    </row>
    <row r="12" spans="1:47" x14ac:dyDescent="0.4">
      <c r="A1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Win-23_11_()-()</v>
      </c>
      <c r="B12" s="16" t="s">
        <v>157</v>
      </c>
      <c r="C12" s="16" t="s">
        <v>2628</v>
      </c>
      <c r="D12" s="93" t="s">
        <v>2609</v>
      </c>
    </row>
    <row r="13" spans="1:47" x14ac:dyDescent="0.4">
      <c r="A1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Win-23_12_()-()</v>
      </c>
      <c r="B13" s="16" t="s">
        <v>157</v>
      </c>
      <c r="C13" s="16" t="s">
        <v>2628</v>
      </c>
      <c r="D13" s="93" t="s">
        <v>2611</v>
      </c>
    </row>
    <row r="14" spans="1:47" x14ac:dyDescent="0.4">
      <c r="A1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Win-23_13_()-()</v>
      </c>
      <c r="B14" s="16" t="s">
        <v>157</v>
      </c>
      <c r="C14" s="16" t="s">
        <v>2628</v>
      </c>
      <c r="D14" s="93" t="s">
        <v>2612</v>
      </c>
    </row>
    <row r="15" spans="1:47" x14ac:dyDescent="0.4">
      <c r="A1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Win-23_14_()-()</v>
      </c>
      <c r="B15" s="16" t="s">
        <v>157</v>
      </c>
      <c r="C15" s="16" t="s">
        <v>2628</v>
      </c>
      <c r="D15" s="93" t="s">
        <v>2613</v>
      </c>
    </row>
    <row r="16" spans="1:47" x14ac:dyDescent="0.4">
      <c r="A1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Win-23_15_()-()</v>
      </c>
      <c r="B16" s="16" t="s">
        <v>157</v>
      </c>
      <c r="C16" s="16" t="s">
        <v>2628</v>
      </c>
      <c r="D16" s="93" t="s">
        <v>2614</v>
      </c>
    </row>
    <row r="17" spans="1:5" x14ac:dyDescent="0.4">
      <c r="A1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Win-23_16_()-()</v>
      </c>
      <c r="B17" s="16" t="s">
        <v>157</v>
      </c>
      <c r="C17" s="16" t="s">
        <v>2628</v>
      </c>
      <c r="D17" s="93" t="s">
        <v>2615</v>
      </c>
    </row>
    <row r="18" spans="1:5" x14ac:dyDescent="0.4">
      <c r="A1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Win-23_17_()-()</v>
      </c>
      <c r="B18" s="16" t="s">
        <v>157</v>
      </c>
      <c r="C18" s="16" t="s">
        <v>2628</v>
      </c>
      <c r="D18" s="93" t="s">
        <v>2616</v>
      </c>
      <c r="E18" s="79"/>
    </row>
    <row r="19" spans="1:5" x14ac:dyDescent="0.4">
      <c r="A1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Win-23_18_()-()</v>
      </c>
      <c r="B19" s="16" t="s">
        <v>157</v>
      </c>
      <c r="C19" s="16" t="s">
        <v>2628</v>
      </c>
      <c r="D19" s="93" t="s">
        <v>2632</v>
      </c>
    </row>
    <row r="20" spans="1:5" x14ac:dyDescent="0.4">
      <c r="A2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Win-23_19_()-()</v>
      </c>
      <c r="B20" s="16" t="s">
        <v>157</v>
      </c>
      <c r="C20" s="16" t="s">
        <v>2628</v>
      </c>
      <c r="D20" s="93" t="s">
        <v>2617</v>
      </c>
    </row>
    <row r="21" spans="1:5" x14ac:dyDescent="0.4">
      <c r="A2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Win-23_20_()-()</v>
      </c>
      <c r="B21" s="16" t="s">
        <v>157</v>
      </c>
      <c r="C21" s="16" t="s">
        <v>2628</v>
      </c>
      <c r="D21" s="93" t="s">
        <v>2631</v>
      </c>
    </row>
    <row r="22" spans="1:5" x14ac:dyDescent="0.4">
      <c r="A2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Win-23_21_()-()</v>
      </c>
      <c r="B22" s="16" t="s">
        <v>157</v>
      </c>
      <c r="C22" s="16" t="s">
        <v>2628</v>
      </c>
      <c r="D22" s="93" t="s">
        <v>2626</v>
      </c>
    </row>
    <row r="23" spans="1:5" x14ac:dyDescent="0.4">
      <c r="A2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Win-23_22_()-()</v>
      </c>
      <c r="B23" s="16" t="s">
        <v>157</v>
      </c>
      <c r="C23" s="16" t="s">
        <v>2628</v>
      </c>
      <c r="D23" s="93" t="s">
        <v>2619</v>
      </c>
    </row>
    <row r="24" spans="1:5" x14ac:dyDescent="0.4">
      <c r="A2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Win-23_23_()-()</v>
      </c>
      <c r="B24" s="16" t="s">
        <v>157</v>
      </c>
      <c r="C24" s="16" t="s">
        <v>2628</v>
      </c>
      <c r="D24" s="93" t="s">
        <v>2618</v>
      </c>
    </row>
    <row r="25" spans="1:5" x14ac:dyDescent="0.4">
      <c r="A2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Win-23_24_()-()</v>
      </c>
      <c r="B25" s="16" t="s">
        <v>157</v>
      </c>
      <c r="C25" s="16" t="s">
        <v>2628</v>
      </c>
      <c r="D25" s="93" t="s">
        <v>2620</v>
      </c>
    </row>
    <row r="26" spans="1:5" x14ac:dyDescent="0.4">
      <c r="A2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Win-23_25_()-()</v>
      </c>
      <c r="B26" s="16" t="s">
        <v>157</v>
      </c>
      <c r="C26" s="16" t="s">
        <v>2628</v>
      </c>
      <c r="D26" s="93" t="s">
        <v>2621</v>
      </c>
    </row>
    <row r="27" spans="1:5" x14ac:dyDescent="0.4">
      <c r="A2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Win-23_26_()-()</v>
      </c>
      <c r="B27" s="16" t="s">
        <v>157</v>
      </c>
      <c r="C27" s="16" t="s">
        <v>2628</v>
      </c>
      <c r="D27" s="93" t="s">
        <v>2623</v>
      </c>
    </row>
    <row r="28" spans="1:5" x14ac:dyDescent="0.4">
      <c r="A2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Win-23_27_()-()</v>
      </c>
      <c r="B28" s="16" t="s">
        <v>157</v>
      </c>
      <c r="C28" s="16" t="s">
        <v>2628</v>
      </c>
      <c r="D28" s="93" t="s">
        <v>2622</v>
      </c>
    </row>
    <row r="29" spans="1:5" x14ac:dyDescent="0.4">
      <c r="A2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Win-23_28_()-()</v>
      </c>
      <c r="B29" s="16" t="s">
        <v>157</v>
      </c>
      <c r="C29" s="16" t="s">
        <v>2628</v>
      </c>
      <c r="D29" s="93" t="s">
        <v>2627</v>
      </c>
    </row>
    <row r="30" spans="1:5" x14ac:dyDescent="0.4">
      <c r="A3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Win-23_29_()-()</v>
      </c>
      <c r="B30" s="16" t="s">
        <v>157</v>
      </c>
      <c r="C30" s="16" t="s">
        <v>2628</v>
      </c>
      <c r="D30" s="93" t="s">
        <v>2624</v>
      </c>
    </row>
    <row r="31" spans="1:5" x14ac:dyDescent="0.4">
      <c r="A3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Win-23_30_()-()</v>
      </c>
      <c r="B31" s="16" t="s">
        <v>157</v>
      </c>
      <c r="C31" s="16" t="s">
        <v>2628</v>
      </c>
      <c r="D31" s="93" t="s">
        <v>2625</v>
      </c>
    </row>
    <row r="32" spans="1:5" x14ac:dyDescent="0.4">
      <c r="A3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Win-23_31_()-()</v>
      </c>
      <c r="B32" s="16" t="s">
        <v>157</v>
      </c>
      <c r="C32" s="16" t="s">
        <v>2628</v>
      </c>
      <c r="D32" s="93" t="s">
        <v>2633</v>
      </c>
    </row>
    <row r="33" spans="1:4" x14ac:dyDescent="0.4">
      <c r="A3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Win-23_32_()-()</v>
      </c>
      <c r="B33" s="16" t="s">
        <v>157</v>
      </c>
      <c r="C33" s="16" t="s">
        <v>2628</v>
      </c>
      <c r="D33" s="93" t="s">
        <v>2634</v>
      </c>
    </row>
    <row r="34" spans="1:4" x14ac:dyDescent="0.4">
      <c r="A3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Win-23_33_()-()</v>
      </c>
      <c r="B34" s="16" t="s">
        <v>157</v>
      </c>
      <c r="C34" s="16" t="s">
        <v>2628</v>
      </c>
      <c r="D34" s="93" t="s">
        <v>2635</v>
      </c>
    </row>
    <row r="35" spans="1:4" x14ac:dyDescent="0.4">
      <c r="A3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Win-23_34_()-()</v>
      </c>
      <c r="B35" s="16" t="s">
        <v>157</v>
      </c>
      <c r="C35" s="16" t="s">
        <v>2628</v>
      </c>
      <c r="D35" s="93" t="s">
        <v>2636</v>
      </c>
    </row>
    <row r="36" spans="1:4" x14ac:dyDescent="0.4">
      <c r="A3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Win-23_35_()-()</v>
      </c>
      <c r="B36" s="16" t="s">
        <v>157</v>
      </c>
      <c r="C36" s="16" t="s">
        <v>2628</v>
      </c>
      <c r="D36" s="93" t="s">
        <v>2637</v>
      </c>
    </row>
    <row r="37" spans="1:4" x14ac:dyDescent="0.4">
      <c r="A3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Win-23_36_()-()</v>
      </c>
      <c r="B37" s="16" t="s">
        <v>157</v>
      </c>
      <c r="C37" s="16" t="s">
        <v>2628</v>
      </c>
      <c r="D37" s="93" t="s">
        <v>2638</v>
      </c>
    </row>
    <row r="38" spans="1:4" x14ac:dyDescent="0.4">
      <c r="A3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Win-23_37_()-()</v>
      </c>
      <c r="B38" s="16" t="s">
        <v>157</v>
      </c>
      <c r="C38" s="16" t="s">
        <v>2628</v>
      </c>
      <c r="D38" s="93" t="s">
        <v>2639</v>
      </c>
    </row>
    <row r="39" spans="1:4" x14ac:dyDescent="0.4">
      <c r="A3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Win-23_38_()-()</v>
      </c>
      <c r="B39" s="16" t="s">
        <v>157</v>
      </c>
      <c r="C39" s="16" t="s">
        <v>2628</v>
      </c>
      <c r="D39" s="93" t="s">
        <v>2640</v>
      </c>
    </row>
    <row r="40" spans="1:4" x14ac:dyDescent="0.4">
      <c r="A4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Win-23_39_()-()</v>
      </c>
      <c r="B40" s="16" t="s">
        <v>157</v>
      </c>
      <c r="C40" s="16" t="s">
        <v>2628</v>
      </c>
      <c r="D40" s="93" t="s">
        <v>2641</v>
      </c>
    </row>
    <row r="41" spans="1:4" x14ac:dyDescent="0.4">
      <c r="A4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Win-23_40_()-()</v>
      </c>
      <c r="B41" s="16" t="s">
        <v>157</v>
      </c>
      <c r="C41" s="16" t="s">
        <v>2628</v>
      </c>
      <c r="D41" s="93" t="s">
        <v>2642</v>
      </c>
    </row>
    <row r="42" spans="1:4" x14ac:dyDescent="0.4">
      <c r="A4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Win-23_41_()-()</v>
      </c>
      <c r="B42" s="16" t="s">
        <v>157</v>
      </c>
      <c r="C42" s="16" t="s">
        <v>2628</v>
      </c>
      <c r="D42" s="93" t="s">
        <v>2643</v>
      </c>
    </row>
    <row r="43" spans="1:4" x14ac:dyDescent="0.4">
      <c r="A4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Win-23_42_()-()</v>
      </c>
      <c r="B43" s="16" t="s">
        <v>157</v>
      </c>
      <c r="C43" s="16" t="s">
        <v>2628</v>
      </c>
      <c r="D43" s="93" t="s">
        <v>2644</v>
      </c>
    </row>
    <row r="44" spans="1:4" x14ac:dyDescent="0.4">
      <c r="A4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Win-23_43_()-()</v>
      </c>
      <c r="B44" s="16" t="s">
        <v>157</v>
      </c>
      <c r="C44" s="16" t="s">
        <v>2628</v>
      </c>
      <c r="D44" s="93" t="s">
        <v>2645</v>
      </c>
    </row>
    <row r="45" spans="1:4" x14ac:dyDescent="0.4">
      <c r="A4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Win-23_44_()-()</v>
      </c>
      <c r="B45" s="16" t="s">
        <v>157</v>
      </c>
      <c r="C45" s="16" t="s">
        <v>2628</v>
      </c>
      <c r="D45" s="93" t="s">
        <v>2646</v>
      </c>
    </row>
    <row r="46" spans="1:4" x14ac:dyDescent="0.4">
      <c r="A4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Win-23_45_()-()</v>
      </c>
      <c r="B46" s="16" t="s">
        <v>157</v>
      </c>
      <c r="C46" s="16" t="s">
        <v>2628</v>
      </c>
      <c r="D46" s="93" t="s">
        <v>2647</v>
      </c>
    </row>
    <row r="47" spans="1:4" x14ac:dyDescent="0.4">
      <c r="A4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Win-23_46_()-()</v>
      </c>
      <c r="B47" s="16" t="s">
        <v>157</v>
      </c>
      <c r="C47" s="16" t="s">
        <v>2628</v>
      </c>
      <c r="D47" s="93" t="s">
        <v>2648</v>
      </c>
    </row>
    <row r="48" spans="1:4" x14ac:dyDescent="0.4">
      <c r="A4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Win-23_47_()-()</v>
      </c>
      <c r="B48" s="16" t="s">
        <v>157</v>
      </c>
      <c r="C48" s="16" t="s">
        <v>2628</v>
      </c>
      <c r="D48" s="93" t="s">
        <v>2649</v>
      </c>
    </row>
    <row r="49" spans="1:4" x14ac:dyDescent="0.4">
      <c r="A4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Win-23_48_()-()</v>
      </c>
      <c r="B49" s="16" t="s">
        <v>157</v>
      </c>
      <c r="C49" s="16" t="s">
        <v>2628</v>
      </c>
      <c r="D49" s="93" t="s">
        <v>2650</v>
      </c>
    </row>
    <row r="50" spans="1:4" x14ac:dyDescent="0.4">
      <c r="A5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Win-23_49_()-()</v>
      </c>
      <c r="B50" s="16" t="s">
        <v>157</v>
      </c>
      <c r="C50" s="16" t="s">
        <v>2628</v>
      </c>
      <c r="D50" s="93" t="s">
        <v>2651</v>
      </c>
    </row>
    <row r="51" spans="1:4" x14ac:dyDescent="0.4">
      <c r="A5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Win-23_50_()-()</v>
      </c>
      <c r="B51" s="16" t="s">
        <v>157</v>
      </c>
      <c r="C51" s="16" t="s">
        <v>2628</v>
      </c>
      <c r="D51" s="93" t="s">
        <v>2652</v>
      </c>
    </row>
    <row r="52" spans="1:4" x14ac:dyDescent="0.4">
      <c r="A5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Win-23_51_()-()</v>
      </c>
      <c r="B52" s="16" t="s">
        <v>157</v>
      </c>
      <c r="C52" s="16" t="s">
        <v>2628</v>
      </c>
      <c r="D52" s="93" t="s">
        <v>2653</v>
      </c>
    </row>
    <row r="53" spans="1:4" x14ac:dyDescent="0.4">
      <c r="A5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Win-23_52_()-()</v>
      </c>
      <c r="B53" s="16" t="s">
        <v>157</v>
      </c>
      <c r="C53" s="16" t="s">
        <v>2628</v>
      </c>
      <c r="D53" s="93" t="s">
        <v>2654</v>
      </c>
    </row>
    <row r="54" spans="1:4" x14ac:dyDescent="0.4">
      <c r="A5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Win-23_53_()-()</v>
      </c>
      <c r="B54" s="16" t="s">
        <v>157</v>
      </c>
      <c r="C54" s="16" t="s">
        <v>2628</v>
      </c>
      <c r="D54" s="93" t="s">
        <v>2655</v>
      </c>
    </row>
    <row r="55" spans="1:4" x14ac:dyDescent="0.4">
      <c r="A5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Win-23_54_()-()</v>
      </c>
      <c r="B55" s="16" t="s">
        <v>157</v>
      </c>
      <c r="C55" s="16" t="s">
        <v>2628</v>
      </c>
      <c r="D55" s="93" t="s">
        <v>2656</v>
      </c>
    </row>
    <row r="56" spans="1:4" x14ac:dyDescent="0.4">
      <c r="A5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Win-24_01_()-()</v>
      </c>
      <c r="B56" s="16" t="s">
        <v>157</v>
      </c>
      <c r="C56" s="16" t="s">
        <v>2629</v>
      </c>
      <c r="D56" s="93" t="s">
        <v>2601</v>
      </c>
    </row>
    <row r="57" spans="1:4" x14ac:dyDescent="0.4">
      <c r="A5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Win-24_02_()-()</v>
      </c>
      <c r="B57" s="16" t="s">
        <v>157</v>
      </c>
      <c r="C57" s="16" t="s">
        <v>2629</v>
      </c>
      <c r="D57" s="93" t="s">
        <v>86</v>
      </c>
    </row>
    <row r="58" spans="1:4" x14ac:dyDescent="0.4">
      <c r="A5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Win-24_03_()-()</v>
      </c>
      <c r="B58" s="16" t="s">
        <v>157</v>
      </c>
      <c r="C58" s="16" t="s">
        <v>2629</v>
      </c>
      <c r="D58" s="93" t="s">
        <v>2602</v>
      </c>
    </row>
    <row r="59" spans="1:4" x14ac:dyDescent="0.4">
      <c r="A5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Win-24_04_()-()</v>
      </c>
      <c r="B59" s="16" t="s">
        <v>157</v>
      </c>
      <c r="C59" s="16" t="s">
        <v>2629</v>
      </c>
      <c r="D59" s="93" t="s">
        <v>2603</v>
      </c>
    </row>
    <row r="60" spans="1:4" x14ac:dyDescent="0.4">
      <c r="A6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Win-24_05_()-()</v>
      </c>
      <c r="B60" s="16" t="s">
        <v>157</v>
      </c>
      <c r="C60" s="16" t="s">
        <v>2629</v>
      </c>
      <c r="D60" s="93" t="s">
        <v>2604</v>
      </c>
    </row>
    <row r="61" spans="1:4" x14ac:dyDescent="0.4">
      <c r="A6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Win-24_06_()-()</v>
      </c>
      <c r="B61" s="16" t="s">
        <v>157</v>
      </c>
      <c r="C61" s="16" t="s">
        <v>2629</v>
      </c>
      <c r="D61" s="93" t="s">
        <v>2605</v>
      </c>
    </row>
    <row r="62" spans="1:4" x14ac:dyDescent="0.4">
      <c r="A6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Win-24_07_()-()</v>
      </c>
      <c r="B62" s="16" t="s">
        <v>157</v>
      </c>
      <c r="C62" s="16" t="s">
        <v>2629</v>
      </c>
      <c r="D62" s="93" t="s">
        <v>2606</v>
      </c>
    </row>
    <row r="63" spans="1:4" x14ac:dyDescent="0.4">
      <c r="A6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Win-24_08_()-()</v>
      </c>
      <c r="B63" s="16" t="s">
        <v>157</v>
      </c>
      <c r="C63" s="16" t="s">
        <v>2629</v>
      </c>
      <c r="D63" s="93" t="s">
        <v>2607</v>
      </c>
    </row>
    <row r="64" spans="1:4" x14ac:dyDescent="0.4">
      <c r="A6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Win-24_09_()-()</v>
      </c>
      <c r="B64" s="16" t="s">
        <v>157</v>
      </c>
      <c r="C64" s="16" t="s">
        <v>2629</v>
      </c>
      <c r="D64" s="93" t="s">
        <v>2608</v>
      </c>
    </row>
    <row r="65" spans="1:4" x14ac:dyDescent="0.4">
      <c r="A6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Win-24_10_()-()</v>
      </c>
      <c r="B65" s="16" t="s">
        <v>157</v>
      </c>
      <c r="C65" s="16" t="s">
        <v>2629</v>
      </c>
      <c r="D65" s="93" t="s">
        <v>2610</v>
      </c>
    </row>
    <row r="66" spans="1:4" x14ac:dyDescent="0.4">
      <c r="A6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Win-24_11_()-()</v>
      </c>
      <c r="B66" s="16" t="s">
        <v>157</v>
      </c>
      <c r="C66" s="16" t="s">
        <v>2629</v>
      </c>
      <c r="D66" s="93" t="s">
        <v>2609</v>
      </c>
    </row>
    <row r="67" spans="1:4" x14ac:dyDescent="0.4">
      <c r="A6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Win-24_12_()-()</v>
      </c>
      <c r="B67" s="16" t="s">
        <v>157</v>
      </c>
      <c r="C67" s="16" t="s">
        <v>2629</v>
      </c>
      <c r="D67" s="93" t="s">
        <v>2611</v>
      </c>
    </row>
    <row r="68" spans="1:4" x14ac:dyDescent="0.4">
      <c r="A6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Win-24_13_()-()</v>
      </c>
      <c r="B68" s="16" t="s">
        <v>157</v>
      </c>
      <c r="C68" s="16" t="s">
        <v>2629</v>
      </c>
      <c r="D68" s="93" t="s">
        <v>2612</v>
      </c>
    </row>
    <row r="69" spans="1:4" x14ac:dyDescent="0.4">
      <c r="A6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Win-24_14_()-()</v>
      </c>
      <c r="B69" s="16" t="s">
        <v>157</v>
      </c>
      <c r="C69" s="16" t="s">
        <v>2629</v>
      </c>
      <c r="D69" s="93" t="s">
        <v>2613</v>
      </c>
    </row>
    <row r="70" spans="1:4" x14ac:dyDescent="0.4">
      <c r="A7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Win-24_15_()-()</v>
      </c>
      <c r="B70" s="16" t="s">
        <v>157</v>
      </c>
      <c r="C70" s="16" t="s">
        <v>2629</v>
      </c>
      <c r="D70" s="93" t="s">
        <v>2614</v>
      </c>
    </row>
    <row r="71" spans="1:4" x14ac:dyDescent="0.4">
      <c r="A7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Win-24_16_()-()</v>
      </c>
      <c r="B71" s="16" t="s">
        <v>157</v>
      </c>
      <c r="C71" s="16" t="s">
        <v>2629</v>
      </c>
      <c r="D71" s="93" t="s">
        <v>2615</v>
      </c>
    </row>
    <row r="72" spans="1:4" x14ac:dyDescent="0.4">
      <c r="A7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Win-24_17_()-()</v>
      </c>
      <c r="B72" s="16" t="s">
        <v>157</v>
      </c>
      <c r="C72" s="16" t="s">
        <v>2629</v>
      </c>
      <c r="D72" s="93" t="s">
        <v>2616</v>
      </c>
    </row>
    <row r="73" spans="1:4" x14ac:dyDescent="0.4">
      <c r="A7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Win-24_18_()-()</v>
      </c>
      <c r="B73" s="16" t="s">
        <v>157</v>
      </c>
      <c r="C73" s="16" t="s">
        <v>2629</v>
      </c>
      <c r="D73" s="93" t="s">
        <v>2632</v>
      </c>
    </row>
    <row r="74" spans="1:4" x14ac:dyDescent="0.4">
      <c r="A7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Win-24_19_()-()</v>
      </c>
      <c r="B74" s="16" t="s">
        <v>157</v>
      </c>
      <c r="C74" s="16" t="s">
        <v>2629</v>
      </c>
      <c r="D74" s="93" t="s">
        <v>2617</v>
      </c>
    </row>
    <row r="75" spans="1:4" x14ac:dyDescent="0.4">
      <c r="A7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Win-24_20_()-()</v>
      </c>
      <c r="B75" s="16" t="s">
        <v>157</v>
      </c>
      <c r="C75" s="16" t="s">
        <v>2629</v>
      </c>
      <c r="D75" s="93" t="s">
        <v>2631</v>
      </c>
    </row>
    <row r="76" spans="1:4" x14ac:dyDescent="0.4">
      <c r="A7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Win-24_21_()-()</v>
      </c>
      <c r="B76" s="16" t="s">
        <v>157</v>
      </c>
      <c r="C76" s="16" t="s">
        <v>2629</v>
      </c>
      <c r="D76" s="93" t="s">
        <v>2626</v>
      </c>
    </row>
    <row r="77" spans="1:4" x14ac:dyDescent="0.4">
      <c r="A7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Win-24_22_()-()</v>
      </c>
      <c r="B77" s="16" t="s">
        <v>157</v>
      </c>
      <c r="C77" s="16" t="s">
        <v>2629</v>
      </c>
      <c r="D77" s="93" t="s">
        <v>2619</v>
      </c>
    </row>
    <row r="78" spans="1:4" x14ac:dyDescent="0.4">
      <c r="A7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Win-24_23_()-()</v>
      </c>
      <c r="B78" s="16" t="s">
        <v>157</v>
      </c>
      <c r="C78" s="16" t="s">
        <v>2629</v>
      </c>
      <c r="D78" s="93" t="s">
        <v>2618</v>
      </c>
    </row>
    <row r="79" spans="1:4" x14ac:dyDescent="0.4">
      <c r="A7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Win-24_24_()-()</v>
      </c>
      <c r="B79" s="16" t="s">
        <v>157</v>
      </c>
      <c r="C79" s="16" t="s">
        <v>2629</v>
      </c>
      <c r="D79" s="93" t="s">
        <v>2620</v>
      </c>
    </row>
    <row r="80" spans="1:4" x14ac:dyDescent="0.4">
      <c r="A8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Win-24_25_()-()</v>
      </c>
      <c r="B80" s="16" t="s">
        <v>157</v>
      </c>
      <c r="C80" s="16" t="s">
        <v>2629</v>
      </c>
      <c r="D80" s="93" t="s">
        <v>2621</v>
      </c>
    </row>
    <row r="81" spans="1:4" x14ac:dyDescent="0.4">
      <c r="A8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Win-24_26_()-()</v>
      </c>
      <c r="B81" s="16" t="s">
        <v>157</v>
      </c>
      <c r="C81" s="16" t="s">
        <v>2629</v>
      </c>
      <c r="D81" s="93" t="s">
        <v>2623</v>
      </c>
    </row>
    <row r="82" spans="1:4" x14ac:dyDescent="0.4">
      <c r="A8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Win-24_27_()-()</v>
      </c>
      <c r="B82" s="16" t="s">
        <v>157</v>
      </c>
      <c r="C82" s="16" t="s">
        <v>2629</v>
      </c>
      <c r="D82" s="93" t="s">
        <v>2622</v>
      </c>
    </row>
    <row r="83" spans="1:4" x14ac:dyDescent="0.4">
      <c r="A8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Win-24_29_()-()</v>
      </c>
      <c r="B83" s="16" t="s">
        <v>157</v>
      </c>
      <c r="C83" s="16" t="s">
        <v>2629</v>
      </c>
      <c r="D83" s="93" t="s">
        <v>2624</v>
      </c>
    </row>
    <row r="84" spans="1:4" x14ac:dyDescent="0.4">
      <c r="A8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Win-24_30_()-()</v>
      </c>
      <c r="B84" s="16" t="s">
        <v>157</v>
      </c>
      <c r="C84" s="16" t="s">
        <v>2629</v>
      </c>
      <c r="D84" s="93" t="s">
        <v>2625</v>
      </c>
    </row>
    <row r="85" spans="1:4" x14ac:dyDescent="0.4">
      <c r="A8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Win-24_31_()-()</v>
      </c>
      <c r="B85" s="16" t="s">
        <v>157</v>
      </c>
      <c r="C85" s="16" t="s">
        <v>2629</v>
      </c>
      <c r="D85" s="93" t="s">
        <v>2633</v>
      </c>
    </row>
    <row r="86" spans="1:4" x14ac:dyDescent="0.4">
      <c r="A8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Win-24_32_()-()</v>
      </c>
      <c r="B86" s="16" t="s">
        <v>157</v>
      </c>
      <c r="C86" s="16" t="s">
        <v>2629</v>
      </c>
      <c r="D86" s="93" t="s">
        <v>2634</v>
      </c>
    </row>
    <row r="87" spans="1:4" x14ac:dyDescent="0.4">
      <c r="A8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Win-24_33_()-()</v>
      </c>
      <c r="B87" s="16" t="s">
        <v>157</v>
      </c>
      <c r="C87" s="16" t="s">
        <v>2629</v>
      </c>
      <c r="D87" s="93" t="s">
        <v>2635</v>
      </c>
    </row>
    <row r="88" spans="1:4" x14ac:dyDescent="0.4">
      <c r="A8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Win-24_34_()-()</v>
      </c>
      <c r="B88" s="16" t="s">
        <v>157</v>
      </c>
      <c r="C88" s="16" t="s">
        <v>2629</v>
      </c>
      <c r="D88" s="93" t="s">
        <v>2636</v>
      </c>
    </row>
    <row r="89" spans="1:4" x14ac:dyDescent="0.4">
      <c r="A8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Win-24_35_()-()</v>
      </c>
      <c r="B89" s="16" t="s">
        <v>157</v>
      </c>
      <c r="C89" s="16" t="s">
        <v>2629</v>
      </c>
      <c r="D89" s="93" t="s">
        <v>2637</v>
      </c>
    </row>
    <row r="90" spans="1:4" x14ac:dyDescent="0.4">
      <c r="A9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Win-24_36_()-()</v>
      </c>
      <c r="B90" s="16" t="s">
        <v>157</v>
      </c>
      <c r="C90" s="16" t="s">
        <v>2629</v>
      </c>
      <c r="D90" s="93" t="s">
        <v>2638</v>
      </c>
    </row>
    <row r="91" spans="1:4" x14ac:dyDescent="0.4">
      <c r="A9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Win-24_37_()-()</v>
      </c>
      <c r="B91" s="16" t="s">
        <v>157</v>
      </c>
      <c r="C91" s="16" t="s">
        <v>2629</v>
      </c>
      <c r="D91" s="93" t="s">
        <v>2639</v>
      </c>
    </row>
    <row r="92" spans="1:4" x14ac:dyDescent="0.4">
      <c r="A9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Win-24_38_()-()</v>
      </c>
      <c r="B92" s="16" t="s">
        <v>157</v>
      </c>
      <c r="C92" s="16" t="s">
        <v>2629</v>
      </c>
      <c r="D92" s="93" t="s">
        <v>2640</v>
      </c>
    </row>
    <row r="93" spans="1:4" x14ac:dyDescent="0.4">
      <c r="A9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Win-24_39_()-()</v>
      </c>
      <c r="B93" s="16" t="s">
        <v>157</v>
      </c>
      <c r="C93" s="16" t="s">
        <v>2629</v>
      </c>
      <c r="D93" s="93" t="s">
        <v>2641</v>
      </c>
    </row>
    <row r="94" spans="1:4" x14ac:dyDescent="0.4">
      <c r="A9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Win-24_40_()-()</v>
      </c>
      <c r="B94" s="16" t="s">
        <v>157</v>
      </c>
      <c r="C94" s="16" t="s">
        <v>2629</v>
      </c>
      <c r="D94" s="93" t="s">
        <v>2642</v>
      </c>
    </row>
    <row r="95" spans="1:4" x14ac:dyDescent="0.4">
      <c r="A9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Win-24_40_()-()</v>
      </c>
      <c r="B95" s="16" t="s">
        <v>157</v>
      </c>
      <c r="C95" s="16" t="s">
        <v>2629</v>
      </c>
      <c r="D95" s="93" t="s">
        <v>2642</v>
      </c>
    </row>
    <row r="96" spans="1:4" x14ac:dyDescent="0.4">
      <c r="A9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Win-24_41_()-()</v>
      </c>
      <c r="B96" s="16" t="s">
        <v>157</v>
      </c>
      <c r="C96" s="16" t="s">
        <v>2629</v>
      </c>
      <c r="D96" s="93" t="s">
        <v>2643</v>
      </c>
    </row>
    <row r="97" spans="1:4" x14ac:dyDescent="0.4">
      <c r="A9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Win-24_42_()-()</v>
      </c>
      <c r="B97" s="16" t="s">
        <v>157</v>
      </c>
      <c r="C97" s="16" t="s">
        <v>2629</v>
      </c>
      <c r="D97" s="93" t="s">
        <v>2644</v>
      </c>
    </row>
    <row r="98" spans="1:4" x14ac:dyDescent="0.4">
      <c r="A9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Win-24_43_()-()</v>
      </c>
      <c r="B98" s="16" t="s">
        <v>157</v>
      </c>
      <c r="C98" s="16" t="s">
        <v>2629</v>
      </c>
      <c r="D98" s="93" t="s">
        <v>2645</v>
      </c>
    </row>
    <row r="99" spans="1:4" x14ac:dyDescent="0.4">
      <c r="A9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Win-24_44_()-()</v>
      </c>
      <c r="B99" s="16" t="s">
        <v>157</v>
      </c>
      <c r="C99" s="16" t="s">
        <v>2629</v>
      </c>
      <c r="D99" s="93" t="s">
        <v>2646</v>
      </c>
    </row>
    <row r="100" spans="1:4" x14ac:dyDescent="0.4">
      <c r="A10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Win-24_45_()-()</v>
      </c>
      <c r="B100" s="16" t="s">
        <v>157</v>
      </c>
      <c r="C100" s="16" t="s">
        <v>2629</v>
      </c>
      <c r="D100" s="93" t="s">
        <v>2647</v>
      </c>
    </row>
    <row r="101" spans="1:4" x14ac:dyDescent="0.4">
      <c r="A10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Win-24_45_()-()</v>
      </c>
      <c r="B101" s="16" t="s">
        <v>157</v>
      </c>
      <c r="C101" s="16" t="s">
        <v>2629</v>
      </c>
      <c r="D101" s="93" t="s">
        <v>2647</v>
      </c>
    </row>
    <row r="102" spans="1:4" x14ac:dyDescent="0.4">
      <c r="A10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Win-24_46_()-()</v>
      </c>
      <c r="B102" s="16" t="s">
        <v>157</v>
      </c>
      <c r="C102" s="16" t="s">
        <v>2629</v>
      </c>
      <c r="D102" s="93" t="s">
        <v>2648</v>
      </c>
    </row>
    <row r="103" spans="1:4" x14ac:dyDescent="0.4">
      <c r="A10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Win-24_47_()-()</v>
      </c>
      <c r="B103" s="16" t="s">
        <v>157</v>
      </c>
      <c r="C103" s="16" t="s">
        <v>2629</v>
      </c>
      <c r="D103" s="93" t="s">
        <v>2649</v>
      </c>
    </row>
    <row r="104" spans="1:4" x14ac:dyDescent="0.4">
      <c r="A10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Win-24_48_()-()</v>
      </c>
      <c r="B104" s="16" t="s">
        <v>157</v>
      </c>
      <c r="C104" s="16" t="s">
        <v>2629</v>
      </c>
      <c r="D104" s="93" t="s">
        <v>2650</v>
      </c>
    </row>
    <row r="105" spans="1:4" x14ac:dyDescent="0.4">
      <c r="A10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Win-24_49_()-()</v>
      </c>
      <c r="B105" s="16" t="s">
        <v>157</v>
      </c>
      <c r="C105" s="16" t="s">
        <v>2629</v>
      </c>
      <c r="D105" s="93" t="s">
        <v>2651</v>
      </c>
    </row>
    <row r="106" spans="1:4" x14ac:dyDescent="0.4">
      <c r="A10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Win-24_50_()-()</v>
      </c>
      <c r="B106" s="16" t="s">
        <v>157</v>
      </c>
      <c r="C106" s="16" t="s">
        <v>2629</v>
      </c>
      <c r="D106" s="93" t="s">
        <v>2652</v>
      </c>
    </row>
    <row r="107" spans="1:4" x14ac:dyDescent="0.4">
      <c r="A10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Win-24_51_()-()</v>
      </c>
      <c r="B107" s="16" t="s">
        <v>157</v>
      </c>
      <c r="C107" s="16" t="s">
        <v>2629</v>
      </c>
      <c r="D107" s="93" t="s">
        <v>2653</v>
      </c>
    </row>
    <row r="108" spans="1:4" x14ac:dyDescent="0.4">
      <c r="A10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Win-24_52_()-()</v>
      </c>
      <c r="B108" s="16" t="s">
        <v>157</v>
      </c>
      <c r="C108" s="16" t="s">
        <v>2629</v>
      </c>
      <c r="D108" s="93" t="s">
        <v>2654</v>
      </c>
    </row>
    <row r="109" spans="1:4" x14ac:dyDescent="0.4">
      <c r="A10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Win-24_53_()-()</v>
      </c>
      <c r="B109" s="16" t="s">
        <v>157</v>
      </c>
      <c r="C109" s="16" t="s">
        <v>2629</v>
      </c>
      <c r="D109" s="93" t="s">
        <v>2655</v>
      </c>
    </row>
    <row r="110" spans="1:4" x14ac:dyDescent="0.4">
      <c r="A11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Win-24_54_()-()</v>
      </c>
      <c r="B110" s="16" t="s">
        <v>157</v>
      </c>
      <c r="C110" s="16" t="s">
        <v>2629</v>
      </c>
      <c r="D110" s="93" t="s">
        <v>2656</v>
      </c>
    </row>
    <row r="111" spans="1:4" x14ac:dyDescent="0.4">
      <c r="A11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Win-24_55_()-()</v>
      </c>
      <c r="B111" s="16" t="s">
        <v>157</v>
      </c>
      <c r="C111" s="16" t="s">
        <v>2629</v>
      </c>
      <c r="D111" s="93" t="s">
        <v>2657</v>
      </c>
    </row>
    <row r="112" spans="1:4" x14ac:dyDescent="0.4">
      <c r="A11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Win-24_56_()-()</v>
      </c>
      <c r="B112" s="16" t="s">
        <v>157</v>
      </c>
      <c r="C112" s="16" t="s">
        <v>2629</v>
      </c>
      <c r="D112" s="93" t="s">
        <v>2658</v>
      </c>
    </row>
    <row r="113" spans="1:4" x14ac:dyDescent="0.4">
      <c r="A11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Win-24_57_()-()</v>
      </c>
      <c r="B113" s="16" t="s">
        <v>157</v>
      </c>
      <c r="C113" s="16" t="s">
        <v>2629</v>
      </c>
      <c r="D113" s="93" t="s">
        <v>2659</v>
      </c>
    </row>
    <row r="114" spans="1:4" x14ac:dyDescent="0.4">
      <c r="A11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Win-24_58_()-()</v>
      </c>
      <c r="B114" s="16" t="s">
        <v>157</v>
      </c>
      <c r="C114" s="16" t="s">
        <v>2629</v>
      </c>
      <c r="D114" s="93" t="s">
        <v>2660</v>
      </c>
    </row>
    <row r="115" spans="1:4" x14ac:dyDescent="0.4">
      <c r="A11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Win-24_59_()-()</v>
      </c>
      <c r="B115" s="16" t="s">
        <v>157</v>
      </c>
      <c r="C115" s="16" t="s">
        <v>2629</v>
      </c>
      <c r="D115" s="93" t="s">
        <v>2661</v>
      </c>
    </row>
    <row r="116" spans="1:4" x14ac:dyDescent="0.4">
      <c r="A11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Win-24_60_()-()</v>
      </c>
      <c r="B116" s="16" t="s">
        <v>157</v>
      </c>
      <c r="C116" s="16" t="s">
        <v>2629</v>
      </c>
      <c r="D116" s="93" t="s">
        <v>2662</v>
      </c>
    </row>
    <row r="117" spans="1:4" x14ac:dyDescent="0.4">
      <c r="A11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Win-24_61_()-()</v>
      </c>
      <c r="B117" s="16" t="s">
        <v>157</v>
      </c>
      <c r="C117" s="16" t="s">
        <v>2629</v>
      </c>
      <c r="D117" s="93" t="s">
        <v>2663</v>
      </c>
    </row>
    <row r="118" spans="1:4" x14ac:dyDescent="0.4">
      <c r="A11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Win-24_62_()-()</v>
      </c>
      <c r="B118" s="16" t="s">
        <v>157</v>
      </c>
      <c r="C118" s="16" t="s">
        <v>2629</v>
      </c>
      <c r="D118" s="93" t="s">
        <v>2664</v>
      </c>
    </row>
    <row r="119" spans="1:4" x14ac:dyDescent="0.4">
      <c r="A11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Win-24_63_()-()</v>
      </c>
      <c r="B119" s="16" t="s">
        <v>157</v>
      </c>
      <c r="C119" s="16" t="s">
        <v>2629</v>
      </c>
      <c r="D119" s="93" t="s">
        <v>2665</v>
      </c>
    </row>
    <row r="120" spans="1:4" x14ac:dyDescent="0.4">
      <c r="A12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Win-24_64_()-()</v>
      </c>
      <c r="B120" s="16" t="s">
        <v>157</v>
      </c>
      <c r="C120" s="16" t="s">
        <v>2629</v>
      </c>
      <c r="D120" s="93" t="s">
        <v>2666</v>
      </c>
    </row>
    <row r="121" spans="1:4" x14ac:dyDescent="0.4">
      <c r="A12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Win-24_65_()-()</v>
      </c>
      <c r="B121" s="16" t="s">
        <v>157</v>
      </c>
      <c r="C121" s="16" t="s">
        <v>2629</v>
      </c>
      <c r="D121" s="93" t="s">
        <v>2667</v>
      </c>
    </row>
    <row r="122" spans="1:4" x14ac:dyDescent="0.4">
      <c r="A12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Win-24_66_()-()</v>
      </c>
      <c r="B122" s="16" t="s">
        <v>157</v>
      </c>
      <c r="C122" s="16" t="s">
        <v>2629</v>
      </c>
      <c r="D122" s="93" t="s">
        <v>2668</v>
      </c>
    </row>
    <row r="123" spans="1:4" x14ac:dyDescent="0.4">
      <c r="A12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Win-24_67_()-()</v>
      </c>
      <c r="B123" s="16" t="s">
        <v>157</v>
      </c>
      <c r="C123" s="16" t="s">
        <v>2629</v>
      </c>
      <c r="D123" s="93" t="s">
        <v>2669</v>
      </c>
    </row>
    <row r="124" spans="1:4" x14ac:dyDescent="0.4">
      <c r="A12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Win-24_68_()-()</v>
      </c>
      <c r="B124" s="16" t="s">
        <v>157</v>
      </c>
      <c r="C124" s="16" t="s">
        <v>2629</v>
      </c>
      <c r="D124" s="93" t="s">
        <v>2670</v>
      </c>
    </row>
    <row r="125" spans="1:4" x14ac:dyDescent="0.4">
      <c r="A12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Win-24_69_()-()</v>
      </c>
      <c r="B125" s="16" t="s">
        <v>157</v>
      </c>
      <c r="C125" s="16" t="s">
        <v>2629</v>
      </c>
      <c r="D125" s="93" t="s">
        <v>2671</v>
      </c>
    </row>
    <row r="126" spans="1:4" x14ac:dyDescent="0.4">
      <c r="A12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Win-24_70_()-()</v>
      </c>
      <c r="B126" s="16" t="s">
        <v>157</v>
      </c>
      <c r="C126" s="16" t="s">
        <v>2629</v>
      </c>
      <c r="D126" s="93" t="s">
        <v>2672</v>
      </c>
    </row>
    <row r="127" spans="1:4" x14ac:dyDescent="0.4">
      <c r="A12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Win-24_71_()-()</v>
      </c>
      <c r="B127" s="16" t="s">
        <v>157</v>
      </c>
      <c r="C127" s="16" t="s">
        <v>2629</v>
      </c>
      <c r="D127" s="93" t="s">
        <v>2673</v>
      </c>
    </row>
    <row r="128" spans="1:4" x14ac:dyDescent="0.4">
      <c r="A12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Win-24_72_()-()</v>
      </c>
      <c r="B128" s="16" t="s">
        <v>157</v>
      </c>
      <c r="C128" s="16" t="s">
        <v>2629</v>
      </c>
      <c r="D128" s="93" t="s">
        <v>2674</v>
      </c>
    </row>
    <row r="129" spans="1:4" x14ac:dyDescent="0.4">
      <c r="A12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Win-24_73_()-()</v>
      </c>
      <c r="B129" s="16" t="s">
        <v>157</v>
      </c>
      <c r="C129" s="16" t="s">
        <v>2629</v>
      </c>
      <c r="D129" s="93" t="s">
        <v>2675</v>
      </c>
    </row>
    <row r="130" spans="1:4" x14ac:dyDescent="0.4">
      <c r="A13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Win-24_74_()-()</v>
      </c>
      <c r="B130" s="16" t="s">
        <v>157</v>
      </c>
      <c r="C130" s="16" t="s">
        <v>2629</v>
      </c>
      <c r="D130" s="93" t="s">
        <v>2676</v>
      </c>
    </row>
    <row r="131" spans="1:4" x14ac:dyDescent="0.4">
      <c r="A13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Win-24_75_()-()</v>
      </c>
      <c r="B131" s="16" t="s">
        <v>157</v>
      </c>
      <c r="C131" s="16" t="s">
        <v>2629</v>
      </c>
      <c r="D131" s="93" t="s">
        <v>2677</v>
      </c>
    </row>
    <row r="132" spans="1:4" x14ac:dyDescent="0.4">
      <c r="A13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Win-24_76_()-()</v>
      </c>
      <c r="B132" s="16" t="s">
        <v>157</v>
      </c>
      <c r="C132" s="16" t="s">
        <v>2629</v>
      </c>
      <c r="D132" s="93" t="s">
        <v>2678</v>
      </c>
    </row>
    <row r="133" spans="1:4" x14ac:dyDescent="0.4">
      <c r="A13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Win-24_77_()-()</v>
      </c>
      <c r="B133" s="16" t="s">
        <v>157</v>
      </c>
      <c r="C133" s="16" t="s">
        <v>2629</v>
      </c>
      <c r="D133" s="93" t="s">
        <v>2679</v>
      </c>
    </row>
    <row r="134" spans="1:4" x14ac:dyDescent="0.4">
      <c r="A13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Win-24_78_()-()</v>
      </c>
      <c r="B134" s="16" t="s">
        <v>157</v>
      </c>
      <c r="C134" s="16" t="s">
        <v>2629</v>
      </c>
      <c r="D134" s="93" t="s">
        <v>2680</v>
      </c>
    </row>
    <row r="135" spans="1:4" x14ac:dyDescent="0.4">
      <c r="A13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Win-24_78_()-()</v>
      </c>
      <c r="B135" s="16" t="s">
        <v>157</v>
      </c>
      <c r="C135" s="16" t="s">
        <v>2629</v>
      </c>
      <c r="D135" s="93" t="s">
        <v>2680</v>
      </c>
    </row>
    <row r="136" spans="1:4" x14ac:dyDescent="0.4">
      <c r="A13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Win-24_78_()-()</v>
      </c>
      <c r="B136" s="16" t="s">
        <v>157</v>
      </c>
      <c r="C136" s="16" t="s">
        <v>2629</v>
      </c>
      <c r="D136" s="93" t="s">
        <v>2680</v>
      </c>
    </row>
    <row r="137" spans="1:4" x14ac:dyDescent="0.4">
      <c r="A13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Win-24_82_()-()</v>
      </c>
      <c r="B137" s="16" t="s">
        <v>157</v>
      </c>
      <c r="C137" s="16" t="s">
        <v>2629</v>
      </c>
      <c r="D137" s="93" t="s">
        <v>2681</v>
      </c>
    </row>
    <row r="138" spans="1:4" x14ac:dyDescent="0.4">
      <c r="A13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Win-24_83_()-()</v>
      </c>
      <c r="B138" s="16" t="s">
        <v>157</v>
      </c>
      <c r="C138" s="16" t="s">
        <v>2629</v>
      </c>
      <c r="D138" s="93" t="s">
        <v>2682</v>
      </c>
    </row>
    <row r="139" spans="1:4" x14ac:dyDescent="0.4">
      <c r="A13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Win-24_84_()-()</v>
      </c>
      <c r="B139" s="16" t="s">
        <v>157</v>
      </c>
      <c r="C139" s="16" t="s">
        <v>2629</v>
      </c>
      <c r="D139" s="93" t="s">
        <v>2683</v>
      </c>
    </row>
    <row r="140" spans="1:4" x14ac:dyDescent="0.4">
      <c r="A14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Win-24_85_()-()</v>
      </c>
      <c r="B140" s="16" t="s">
        <v>157</v>
      </c>
      <c r="C140" s="16" t="s">
        <v>2629</v>
      </c>
      <c r="D140" s="93" t="s">
        <v>2684</v>
      </c>
    </row>
    <row r="141" spans="1:4" x14ac:dyDescent="0.4">
      <c r="A14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Win-25_01_()-()</v>
      </c>
      <c r="B141" s="16" t="s">
        <v>157</v>
      </c>
      <c r="C141" s="16" t="s">
        <v>2630</v>
      </c>
      <c r="D141" s="93" t="s">
        <v>2601</v>
      </c>
    </row>
    <row r="142" spans="1:4" x14ac:dyDescent="0.4">
      <c r="A14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Win-25_02_()-()</v>
      </c>
      <c r="B142" s="16" t="s">
        <v>157</v>
      </c>
      <c r="C142" s="16" t="s">
        <v>2630</v>
      </c>
      <c r="D142" s="93" t="s">
        <v>86</v>
      </c>
    </row>
    <row r="143" spans="1:4" x14ac:dyDescent="0.4">
      <c r="A14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Win-25_03_()-()</v>
      </c>
      <c r="B143" s="16" t="s">
        <v>157</v>
      </c>
      <c r="C143" s="16" t="s">
        <v>2630</v>
      </c>
      <c r="D143" s="93" t="s">
        <v>2602</v>
      </c>
    </row>
    <row r="144" spans="1:4" x14ac:dyDescent="0.4">
      <c r="A14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Win-25_04_()-()</v>
      </c>
      <c r="B144" s="16" t="s">
        <v>157</v>
      </c>
      <c r="C144" s="16" t="s">
        <v>2630</v>
      </c>
      <c r="D144" s="93" t="s">
        <v>2603</v>
      </c>
    </row>
    <row r="145" spans="1:4" x14ac:dyDescent="0.4">
      <c r="A14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Win-25_05_()-()</v>
      </c>
      <c r="B145" s="16" t="s">
        <v>157</v>
      </c>
      <c r="C145" s="16" t="s">
        <v>2630</v>
      </c>
      <c r="D145" s="93" t="s">
        <v>2604</v>
      </c>
    </row>
    <row r="146" spans="1:4" x14ac:dyDescent="0.4">
      <c r="A14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Win-25_06_()-()</v>
      </c>
      <c r="B146" s="16" t="s">
        <v>157</v>
      </c>
      <c r="C146" s="16" t="s">
        <v>2630</v>
      </c>
      <c r="D146" s="93" t="s">
        <v>2605</v>
      </c>
    </row>
    <row r="147" spans="1:4" x14ac:dyDescent="0.4">
      <c r="A14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Win-25_07_()-()</v>
      </c>
      <c r="B147" s="16" t="s">
        <v>157</v>
      </c>
      <c r="C147" s="16" t="s">
        <v>2630</v>
      </c>
      <c r="D147" s="93" t="s">
        <v>2606</v>
      </c>
    </row>
    <row r="148" spans="1:4" x14ac:dyDescent="0.4">
      <c r="A14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Win-25_08_()-()</v>
      </c>
      <c r="B148" s="16" t="s">
        <v>157</v>
      </c>
      <c r="C148" s="16" t="s">
        <v>2630</v>
      </c>
      <c r="D148" s="93" t="s">
        <v>2607</v>
      </c>
    </row>
    <row r="149" spans="1:4" x14ac:dyDescent="0.4">
      <c r="A14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Win-25_09_()-()</v>
      </c>
      <c r="B149" s="16" t="s">
        <v>157</v>
      </c>
      <c r="C149" s="16" t="s">
        <v>2630</v>
      </c>
      <c r="D149" s="93" t="s">
        <v>2608</v>
      </c>
    </row>
    <row r="150" spans="1:4" x14ac:dyDescent="0.4">
      <c r="A15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Win-25_10_()-()</v>
      </c>
      <c r="B150" s="16" t="s">
        <v>157</v>
      </c>
      <c r="C150" s="16" t="s">
        <v>2630</v>
      </c>
      <c r="D150" s="93" t="s">
        <v>2610</v>
      </c>
    </row>
    <row r="151" spans="1:4" x14ac:dyDescent="0.4">
      <c r="A15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Win-25_11_()-()</v>
      </c>
      <c r="B151" s="16" t="s">
        <v>157</v>
      </c>
      <c r="C151" s="16" t="s">
        <v>2630</v>
      </c>
      <c r="D151" s="93" t="s">
        <v>2609</v>
      </c>
    </row>
    <row r="152" spans="1:4" x14ac:dyDescent="0.4">
      <c r="A15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Win-25_12_()-()</v>
      </c>
      <c r="B152" s="16" t="s">
        <v>157</v>
      </c>
      <c r="C152" s="16" t="s">
        <v>2630</v>
      </c>
      <c r="D152" s="93" t="s">
        <v>2611</v>
      </c>
    </row>
    <row r="153" spans="1:4" x14ac:dyDescent="0.4">
      <c r="A15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Win-25_13_()-()</v>
      </c>
      <c r="B153" s="16" t="s">
        <v>157</v>
      </c>
      <c r="C153" s="16" t="s">
        <v>2630</v>
      </c>
      <c r="D153" s="93" t="s">
        <v>2612</v>
      </c>
    </row>
    <row r="154" spans="1:4" x14ac:dyDescent="0.4">
      <c r="A15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Win-25_14_()-()</v>
      </c>
      <c r="B154" s="16" t="s">
        <v>157</v>
      </c>
      <c r="C154" s="16" t="s">
        <v>2630</v>
      </c>
      <c r="D154" s="93" t="s">
        <v>2613</v>
      </c>
    </row>
    <row r="155" spans="1:4" x14ac:dyDescent="0.4">
      <c r="A15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Win-25_15_()-()</v>
      </c>
      <c r="B155" s="16" t="s">
        <v>157</v>
      </c>
      <c r="C155" s="16" t="s">
        <v>2630</v>
      </c>
      <c r="D155" s="93" t="s">
        <v>2614</v>
      </c>
    </row>
    <row r="156" spans="1:4" x14ac:dyDescent="0.4">
      <c r="A15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Win-25_16_()-()</v>
      </c>
      <c r="B156" s="16" t="s">
        <v>157</v>
      </c>
      <c r="C156" s="16" t="s">
        <v>2630</v>
      </c>
      <c r="D156" s="93" t="s">
        <v>2615</v>
      </c>
    </row>
    <row r="157" spans="1:4" x14ac:dyDescent="0.4">
      <c r="A15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Win-25_17_()-()</v>
      </c>
      <c r="B157" s="16" t="s">
        <v>157</v>
      </c>
      <c r="C157" s="16" t="s">
        <v>2630</v>
      </c>
      <c r="D157" s="93" t="s">
        <v>2616</v>
      </c>
    </row>
    <row r="158" spans="1:4" x14ac:dyDescent="0.4">
      <c r="A15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Win-25_19_()-()</v>
      </c>
      <c r="B158" s="16" t="s">
        <v>157</v>
      </c>
      <c r="C158" s="16" t="s">
        <v>2630</v>
      </c>
      <c r="D158" s="93" t="s">
        <v>2617</v>
      </c>
    </row>
    <row r="159" spans="1:4" x14ac:dyDescent="0.4">
      <c r="A15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Win-25_20_()-()</v>
      </c>
      <c r="B159" s="16" t="s">
        <v>157</v>
      </c>
      <c r="C159" s="16" t="s">
        <v>2630</v>
      </c>
      <c r="D159" s="93" t="s">
        <v>2631</v>
      </c>
    </row>
    <row r="160" spans="1:4" x14ac:dyDescent="0.4">
      <c r="A16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Win-25_21_()-()</v>
      </c>
      <c r="B160" s="16" t="s">
        <v>157</v>
      </c>
      <c r="C160" s="16" t="s">
        <v>2630</v>
      </c>
      <c r="D160" s="93" t="s">
        <v>2626</v>
      </c>
    </row>
    <row r="161" spans="1:4" x14ac:dyDescent="0.4">
      <c r="A16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Win-25_22_()-()</v>
      </c>
      <c r="B161" s="16" t="s">
        <v>157</v>
      </c>
      <c r="C161" s="16" t="s">
        <v>2630</v>
      </c>
      <c r="D161" s="93" t="s">
        <v>2619</v>
      </c>
    </row>
    <row r="162" spans="1:4" x14ac:dyDescent="0.4">
      <c r="A16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Win-25_23_()-()</v>
      </c>
      <c r="B162" s="16" t="s">
        <v>157</v>
      </c>
      <c r="C162" s="16" t="s">
        <v>2630</v>
      </c>
      <c r="D162" s="93" t="s">
        <v>2618</v>
      </c>
    </row>
    <row r="163" spans="1:4" x14ac:dyDescent="0.4">
      <c r="A16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Win-25_24_()-()</v>
      </c>
      <c r="B163" s="16" t="s">
        <v>157</v>
      </c>
      <c r="C163" s="16" t="s">
        <v>2630</v>
      </c>
      <c r="D163" s="93" t="s">
        <v>2620</v>
      </c>
    </row>
    <row r="164" spans="1:4" x14ac:dyDescent="0.4">
      <c r="A16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Win-25_25_()-()</v>
      </c>
      <c r="B164" s="16" t="s">
        <v>157</v>
      </c>
      <c r="C164" s="16" t="s">
        <v>2630</v>
      </c>
      <c r="D164" s="93" t="s">
        <v>2621</v>
      </c>
    </row>
    <row r="165" spans="1:4" x14ac:dyDescent="0.4">
      <c r="A16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Win-25_26_()-()</v>
      </c>
      <c r="B165" s="16" t="s">
        <v>157</v>
      </c>
      <c r="C165" s="16" t="s">
        <v>2630</v>
      </c>
      <c r="D165" s="93" t="s">
        <v>2623</v>
      </c>
    </row>
    <row r="166" spans="1:4" x14ac:dyDescent="0.4">
      <c r="A16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Win-25_27_()-()</v>
      </c>
      <c r="B166" s="16" t="s">
        <v>157</v>
      </c>
      <c r="C166" s="16" t="s">
        <v>2630</v>
      </c>
      <c r="D166" s="93" t="s">
        <v>2622</v>
      </c>
    </row>
    <row r="167" spans="1:4" x14ac:dyDescent="0.4">
      <c r="A16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Win-25_28_()-()</v>
      </c>
      <c r="B167" s="16" t="s">
        <v>157</v>
      </c>
      <c r="C167" s="16" t="s">
        <v>2630</v>
      </c>
      <c r="D167" s="93" t="s">
        <v>2627</v>
      </c>
    </row>
    <row r="168" spans="1:4" x14ac:dyDescent="0.4">
      <c r="A16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Win-25_29_()-()</v>
      </c>
      <c r="B168" s="16" t="s">
        <v>157</v>
      </c>
      <c r="C168" s="16" t="s">
        <v>2630</v>
      </c>
      <c r="D168" s="93" t="s">
        <v>2624</v>
      </c>
    </row>
    <row r="169" spans="1:4" x14ac:dyDescent="0.4">
      <c r="A16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Win-25_30_()-()</v>
      </c>
      <c r="B169" s="16" t="s">
        <v>157</v>
      </c>
      <c r="C169" s="16" t="s">
        <v>2630</v>
      </c>
      <c r="D169" s="93" t="s">
        <v>2625</v>
      </c>
    </row>
    <row r="170" spans="1:4" x14ac:dyDescent="0.4">
      <c r="A17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Win-25_31_()-()</v>
      </c>
      <c r="B170" s="16" t="s">
        <v>157</v>
      </c>
      <c r="C170" s="16" t="s">
        <v>2630</v>
      </c>
      <c r="D170" s="93" t="s">
        <v>2633</v>
      </c>
    </row>
    <row r="171" spans="1:4" x14ac:dyDescent="0.4">
      <c r="A17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Win-25_32_()-()</v>
      </c>
      <c r="B171" s="16" t="s">
        <v>157</v>
      </c>
      <c r="C171" s="16" t="s">
        <v>2630</v>
      </c>
      <c r="D171" s="93" t="s">
        <v>2634</v>
      </c>
    </row>
    <row r="172" spans="1:4" x14ac:dyDescent="0.4">
      <c r="A17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Win-25_33_()-()</v>
      </c>
      <c r="B172" s="16" t="s">
        <v>157</v>
      </c>
      <c r="C172" s="16" t="s">
        <v>2630</v>
      </c>
      <c r="D172" s="93" t="s">
        <v>2635</v>
      </c>
    </row>
    <row r="173" spans="1:4" x14ac:dyDescent="0.4">
      <c r="A17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Win-25_34_()-()</v>
      </c>
      <c r="B173" s="16" t="s">
        <v>157</v>
      </c>
      <c r="C173" s="16" t="s">
        <v>2630</v>
      </c>
      <c r="D173" s="93" t="s">
        <v>2636</v>
      </c>
    </row>
    <row r="174" spans="1:4" x14ac:dyDescent="0.4">
      <c r="A17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Win-25_35_()-()</v>
      </c>
      <c r="B174" s="16" t="s">
        <v>157</v>
      </c>
      <c r="C174" s="16" t="s">
        <v>2630</v>
      </c>
      <c r="D174" s="93" t="s">
        <v>2637</v>
      </c>
    </row>
    <row r="175" spans="1:4" x14ac:dyDescent="0.4">
      <c r="A17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Win-25_36_()-()</v>
      </c>
      <c r="B175" s="16" t="s">
        <v>157</v>
      </c>
      <c r="C175" s="16" t="s">
        <v>2630</v>
      </c>
      <c r="D175" s="93" t="s">
        <v>2638</v>
      </c>
    </row>
    <row r="176" spans="1:4" x14ac:dyDescent="0.4">
      <c r="A17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Win-25_37_()-()</v>
      </c>
      <c r="B176" s="16" t="s">
        <v>157</v>
      </c>
      <c r="C176" s="16" t="s">
        <v>2630</v>
      </c>
      <c r="D176" s="93" t="s">
        <v>2639</v>
      </c>
    </row>
    <row r="177" spans="1:4" x14ac:dyDescent="0.4">
      <c r="A17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Win-25_38_()-()</v>
      </c>
      <c r="B177" s="16" t="s">
        <v>157</v>
      </c>
      <c r="C177" s="16" t="s">
        <v>2630</v>
      </c>
      <c r="D177" s="93" t="s">
        <v>2640</v>
      </c>
    </row>
    <row r="178" spans="1:4" x14ac:dyDescent="0.4">
      <c r="A17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Win-25_39_()-()</v>
      </c>
      <c r="B178" s="16" t="s">
        <v>157</v>
      </c>
      <c r="C178" s="16" t="s">
        <v>2630</v>
      </c>
      <c r="D178" s="93" t="s">
        <v>2641</v>
      </c>
    </row>
    <row r="179" spans="1:4" x14ac:dyDescent="0.4">
      <c r="A17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Win-25_40_()-()</v>
      </c>
      <c r="B179" s="16" t="s">
        <v>157</v>
      </c>
      <c r="C179" s="16" t="s">
        <v>2630</v>
      </c>
      <c r="D179" s="93" t="s">
        <v>2642</v>
      </c>
    </row>
    <row r="180" spans="1:4" x14ac:dyDescent="0.4">
      <c r="A18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Win-25_41_()-()</v>
      </c>
      <c r="B180" s="16" t="s">
        <v>157</v>
      </c>
      <c r="C180" s="16" t="s">
        <v>2630</v>
      </c>
      <c r="D180" s="93" t="s">
        <v>2643</v>
      </c>
    </row>
    <row r="181" spans="1:4" x14ac:dyDescent="0.4">
      <c r="A18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Win-25_42_()-()</v>
      </c>
      <c r="B181" s="16" t="s">
        <v>157</v>
      </c>
      <c r="C181" s="16" t="s">
        <v>2630</v>
      </c>
      <c r="D181" s="93" t="s">
        <v>2644</v>
      </c>
    </row>
    <row r="182" spans="1:4" x14ac:dyDescent="0.4">
      <c r="A18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Win-25_43_()-()</v>
      </c>
      <c r="B182" s="16" t="s">
        <v>157</v>
      </c>
      <c r="C182" s="16" t="s">
        <v>2630</v>
      </c>
      <c r="D182" s="93" t="s">
        <v>2645</v>
      </c>
    </row>
    <row r="183" spans="1:4" x14ac:dyDescent="0.4">
      <c r="A18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Win-25_44_()-()</v>
      </c>
      <c r="B183" s="16" t="s">
        <v>157</v>
      </c>
      <c r="C183" s="16" t="s">
        <v>2630</v>
      </c>
      <c r="D183" s="93" t="s">
        <v>2646</v>
      </c>
    </row>
    <row r="184" spans="1:4" x14ac:dyDescent="0.4">
      <c r="A18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Win-25_45_()-()</v>
      </c>
      <c r="B184" s="16" t="s">
        <v>157</v>
      </c>
      <c r="C184" s="16" t="s">
        <v>2630</v>
      </c>
      <c r="D184" s="93" t="s">
        <v>2647</v>
      </c>
    </row>
    <row r="185" spans="1:4" x14ac:dyDescent="0.4">
      <c r="A18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Win-25_46_()-()</v>
      </c>
      <c r="B185" s="16" t="s">
        <v>157</v>
      </c>
      <c r="C185" s="16" t="s">
        <v>2630</v>
      </c>
      <c r="D185" s="93" t="s">
        <v>2648</v>
      </c>
    </row>
    <row r="186" spans="1:4" x14ac:dyDescent="0.4">
      <c r="A18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Win-25_47_()-()</v>
      </c>
      <c r="B186" s="16" t="s">
        <v>157</v>
      </c>
      <c r="C186" s="16" t="s">
        <v>2630</v>
      </c>
      <c r="D186" s="93" t="s">
        <v>2649</v>
      </c>
    </row>
    <row r="187" spans="1:4" x14ac:dyDescent="0.4">
      <c r="A18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Win-25_48_()-()</v>
      </c>
      <c r="B187" s="16" t="s">
        <v>157</v>
      </c>
      <c r="C187" s="16" t="s">
        <v>2630</v>
      </c>
      <c r="D187" s="93" t="s">
        <v>2650</v>
      </c>
    </row>
    <row r="188" spans="1:4" x14ac:dyDescent="0.4">
      <c r="A18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Win-25_49_()-()</v>
      </c>
      <c r="B188" s="16" t="s">
        <v>157</v>
      </c>
      <c r="C188" s="16" t="s">
        <v>2630</v>
      </c>
      <c r="D188" s="93" t="s">
        <v>2651</v>
      </c>
    </row>
    <row r="189" spans="1:4" x14ac:dyDescent="0.4">
      <c r="A18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Win-25_50_()-()</v>
      </c>
      <c r="B189" s="16" t="s">
        <v>157</v>
      </c>
      <c r="C189" s="16" t="s">
        <v>2630</v>
      </c>
      <c r="D189" s="93" t="s">
        <v>2652</v>
      </c>
    </row>
    <row r="190" spans="1:4" x14ac:dyDescent="0.4">
      <c r="A19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Win-25_51_()-()</v>
      </c>
      <c r="B190" s="16" t="s">
        <v>157</v>
      </c>
      <c r="C190" s="16" t="s">
        <v>2630</v>
      </c>
      <c r="D190" s="93" t="s">
        <v>2653</v>
      </c>
    </row>
    <row r="191" spans="1:4" x14ac:dyDescent="0.4">
      <c r="A19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Win-25_52_()-()</v>
      </c>
      <c r="B191" s="16" t="s">
        <v>157</v>
      </c>
      <c r="C191" s="16" t="s">
        <v>2630</v>
      </c>
      <c r="D191" s="93" t="s">
        <v>2654</v>
      </c>
    </row>
    <row r="192" spans="1:4" x14ac:dyDescent="0.4">
      <c r="A19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Win-25_53_()-()</v>
      </c>
      <c r="B192" s="16" t="s">
        <v>157</v>
      </c>
      <c r="C192" s="16" t="s">
        <v>2630</v>
      </c>
      <c r="D192" s="93" t="s">
        <v>2655</v>
      </c>
    </row>
    <row r="193" spans="1:4" x14ac:dyDescent="0.4">
      <c r="A19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Win-25_54_()-()</v>
      </c>
      <c r="B193" s="16" t="s">
        <v>157</v>
      </c>
      <c r="C193" s="16" t="s">
        <v>2630</v>
      </c>
      <c r="D193" s="93" t="s">
        <v>2656</v>
      </c>
    </row>
    <row r="194" spans="1:4" x14ac:dyDescent="0.4">
      <c r="A19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Win-25_55_()-()</v>
      </c>
      <c r="B194" s="16" t="s">
        <v>157</v>
      </c>
      <c r="C194" s="16" t="s">
        <v>2630</v>
      </c>
      <c r="D194" s="93" t="s">
        <v>2657</v>
      </c>
    </row>
    <row r="195" spans="1:4" x14ac:dyDescent="0.4">
      <c r="A19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Win-25_56_()-()</v>
      </c>
      <c r="B195" s="16" t="s">
        <v>157</v>
      </c>
      <c r="C195" s="16" t="s">
        <v>2630</v>
      </c>
      <c r="D195" s="93" t="s">
        <v>2658</v>
      </c>
    </row>
    <row r="196" spans="1:4" x14ac:dyDescent="0.4">
      <c r="A19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Win-25_57_()-()</v>
      </c>
      <c r="B196" s="16" t="s">
        <v>157</v>
      </c>
      <c r="C196" s="16" t="s">
        <v>2630</v>
      </c>
      <c r="D196" s="93" t="s">
        <v>2659</v>
      </c>
    </row>
    <row r="197" spans="1:4" x14ac:dyDescent="0.4">
      <c r="A19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Win-25_58_()-()</v>
      </c>
      <c r="B197" s="16" t="s">
        <v>157</v>
      </c>
      <c r="C197" s="16" t="s">
        <v>2630</v>
      </c>
      <c r="D197" s="93" t="s">
        <v>2660</v>
      </c>
    </row>
    <row r="198" spans="1:4" x14ac:dyDescent="0.4">
      <c r="A19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Win-25_59_()-()</v>
      </c>
      <c r="B198" s="16" t="s">
        <v>157</v>
      </c>
      <c r="C198" s="16" t="s">
        <v>2630</v>
      </c>
      <c r="D198" s="93" t="s">
        <v>2661</v>
      </c>
    </row>
    <row r="199" spans="1:4" x14ac:dyDescent="0.4">
      <c r="A19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Win-25_60_()-()</v>
      </c>
      <c r="B199" s="16" t="s">
        <v>157</v>
      </c>
      <c r="C199" s="16" t="s">
        <v>2630</v>
      </c>
      <c r="D199" s="93" t="s">
        <v>2662</v>
      </c>
    </row>
    <row r="200" spans="1:4" x14ac:dyDescent="0.4">
      <c r="A20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Win-25_61_()-()</v>
      </c>
      <c r="B200" s="16" t="s">
        <v>157</v>
      </c>
      <c r="C200" s="16" t="s">
        <v>2630</v>
      </c>
      <c r="D200" s="93" t="s">
        <v>2663</v>
      </c>
    </row>
    <row r="201" spans="1:4" x14ac:dyDescent="0.4">
      <c r="A20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Win-25_62_()-()</v>
      </c>
      <c r="B201" s="16" t="s">
        <v>157</v>
      </c>
      <c r="C201" s="16" t="s">
        <v>2630</v>
      </c>
      <c r="D201" s="93" t="s">
        <v>2664</v>
      </c>
    </row>
    <row r="202" spans="1:4" x14ac:dyDescent="0.4">
      <c r="A20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Win-25_63_()-()</v>
      </c>
      <c r="B202" s="16" t="s">
        <v>157</v>
      </c>
      <c r="C202" s="16" t="s">
        <v>2630</v>
      </c>
      <c r="D202" s="93" t="s">
        <v>2665</v>
      </c>
    </row>
    <row r="203" spans="1:4" x14ac:dyDescent="0.4">
      <c r="A20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Win-25_64_()-()</v>
      </c>
      <c r="B203" s="16" t="s">
        <v>157</v>
      </c>
      <c r="C203" s="16" t="s">
        <v>2630</v>
      </c>
      <c r="D203" s="93" t="s">
        <v>2666</v>
      </c>
    </row>
    <row r="204" spans="1:4" x14ac:dyDescent="0.4">
      <c r="A20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Win-25_65_()-()</v>
      </c>
      <c r="B204" s="16" t="s">
        <v>157</v>
      </c>
      <c r="C204" s="16" t="s">
        <v>2630</v>
      </c>
      <c r="D204" s="93" t="s">
        <v>2667</v>
      </c>
    </row>
    <row r="205" spans="1:4" x14ac:dyDescent="0.4">
      <c r="A20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Win-25_66_()-()</v>
      </c>
      <c r="B205" s="16" t="s">
        <v>157</v>
      </c>
      <c r="C205" s="16" t="s">
        <v>2630</v>
      </c>
      <c r="D205" s="93" t="s">
        <v>2668</v>
      </c>
    </row>
    <row r="206" spans="1:4" x14ac:dyDescent="0.4">
      <c r="A20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Win-25_67_()-()</v>
      </c>
      <c r="B206" s="16" t="s">
        <v>157</v>
      </c>
      <c r="C206" s="16" t="s">
        <v>2630</v>
      </c>
      <c r="D206" s="93" t="s">
        <v>2669</v>
      </c>
    </row>
    <row r="207" spans="1:4" x14ac:dyDescent="0.4">
      <c r="A20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Win-25_68_()-()</v>
      </c>
      <c r="B207" s="16" t="s">
        <v>157</v>
      </c>
      <c r="C207" s="16" t="s">
        <v>2630</v>
      </c>
      <c r="D207" s="93" t="s">
        <v>2670</v>
      </c>
    </row>
    <row r="208" spans="1:4" x14ac:dyDescent="0.4">
      <c r="A20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Win-25_69_()-()</v>
      </c>
      <c r="B208" s="16" t="s">
        <v>157</v>
      </c>
      <c r="C208" s="16" t="s">
        <v>2630</v>
      </c>
      <c r="D208" s="93" t="s">
        <v>2671</v>
      </c>
    </row>
    <row r="209" spans="1:4" x14ac:dyDescent="0.4">
      <c r="A20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Win-25_70_()-()</v>
      </c>
      <c r="B209" s="16" t="s">
        <v>157</v>
      </c>
      <c r="C209" s="16" t="s">
        <v>2630</v>
      </c>
      <c r="D209" s="93" t="s">
        <v>2672</v>
      </c>
    </row>
    <row r="210" spans="1:4" x14ac:dyDescent="0.4">
      <c r="A21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Win-25_71_()-()</v>
      </c>
      <c r="B210" s="16" t="s">
        <v>157</v>
      </c>
      <c r="C210" s="16" t="s">
        <v>2630</v>
      </c>
      <c r="D210" s="93" t="s">
        <v>2673</v>
      </c>
    </row>
    <row r="211" spans="1:4" x14ac:dyDescent="0.4">
      <c r="A21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Win-25_72_()-()</v>
      </c>
      <c r="B211" s="16" t="s">
        <v>157</v>
      </c>
      <c r="C211" s="16" t="s">
        <v>2630</v>
      </c>
      <c r="D211" s="93" t="s">
        <v>2674</v>
      </c>
    </row>
    <row r="212" spans="1:4" x14ac:dyDescent="0.4">
      <c r="A21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Win-25_73_()-()</v>
      </c>
      <c r="B212" s="16" t="s">
        <v>157</v>
      </c>
      <c r="C212" s="16" t="s">
        <v>2630</v>
      </c>
      <c r="D212" s="93" t="s">
        <v>2675</v>
      </c>
    </row>
    <row r="213" spans="1:4" x14ac:dyDescent="0.4">
      <c r="A21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Win-25_74_()-()</v>
      </c>
      <c r="B213" s="16" t="s">
        <v>157</v>
      </c>
      <c r="C213" s="16" t="s">
        <v>2630</v>
      </c>
      <c r="D213" s="93" t="s">
        <v>2676</v>
      </c>
    </row>
    <row r="214" spans="1:4" x14ac:dyDescent="0.4">
      <c r="A21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Win-25_75_()-()</v>
      </c>
      <c r="B214" s="16" t="s">
        <v>157</v>
      </c>
      <c r="C214" s="16" t="s">
        <v>2630</v>
      </c>
      <c r="D214" s="93" t="s">
        <v>2677</v>
      </c>
    </row>
    <row r="215" spans="1:4" x14ac:dyDescent="0.4">
      <c r="A21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Win-25_76_()-()</v>
      </c>
      <c r="B215" s="16" t="s">
        <v>157</v>
      </c>
      <c r="C215" s="16" t="s">
        <v>2630</v>
      </c>
      <c r="D215" s="93" t="s">
        <v>2678</v>
      </c>
    </row>
    <row r="216" spans="1:4" x14ac:dyDescent="0.4">
      <c r="A21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Win-25_77_()-()</v>
      </c>
      <c r="B216" s="16" t="s">
        <v>157</v>
      </c>
      <c r="C216" s="16" t="s">
        <v>2630</v>
      </c>
      <c r="D216" s="93" t="s">
        <v>2679</v>
      </c>
    </row>
    <row r="217" spans="1:4" x14ac:dyDescent="0.4">
      <c r="A21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Win-25_78_()-()</v>
      </c>
      <c r="B217" s="16" t="s">
        <v>157</v>
      </c>
      <c r="C217" s="16" t="s">
        <v>2630</v>
      </c>
      <c r="D217" s="93" t="s">
        <v>2680</v>
      </c>
    </row>
    <row r="218" spans="1:4" x14ac:dyDescent="0.4">
      <c r="A21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Win-25_79_()-()</v>
      </c>
      <c r="B218" s="16" t="s">
        <v>157</v>
      </c>
      <c r="C218" s="16" t="s">
        <v>2630</v>
      </c>
      <c r="D218" s="93" t="s">
        <v>2685</v>
      </c>
    </row>
    <row r="219" spans="1:4" x14ac:dyDescent="0.4">
      <c r="A21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Win-25_80_()-()</v>
      </c>
      <c r="B219" s="16" t="s">
        <v>157</v>
      </c>
      <c r="C219" s="16" t="s">
        <v>2630</v>
      </c>
      <c r="D219" s="93" t="s">
        <v>2686</v>
      </c>
    </row>
    <row r="220" spans="1:4" x14ac:dyDescent="0.4">
      <c r="A22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Win-25_81_()-()</v>
      </c>
      <c r="B220" s="16" t="s">
        <v>157</v>
      </c>
      <c r="C220" s="16" t="s">
        <v>2630</v>
      </c>
      <c r="D220" s="93" t="s">
        <v>2687</v>
      </c>
    </row>
    <row r="221" spans="1:4" x14ac:dyDescent="0.4">
      <c r="A221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Win-25_82_()-()</v>
      </c>
      <c r="B221" s="16" t="s">
        <v>157</v>
      </c>
      <c r="C221" s="16" t="s">
        <v>2630</v>
      </c>
      <c r="D221" s="93" t="s">
        <v>2681</v>
      </c>
    </row>
    <row r="222" spans="1:4" x14ac:dyDescent="0.4">
      <c r="A222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Win-25_83_()-()</v>
      </c>
      <c r="B222" s="16" t="s">
        <v>157</v>
      </c>
      <c r="C222" s="16" t="s">
        <v>2630</v>
      </c>
      <c r="D222" s="93" t="s">
        <v>2682</v>
      </c>
    </row>
    <row r="223" spans="1:4" x14ac:dyDescent="0.4">
      <c r="A223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Win-25_84_()-()</v>
      </c>
      <c r="B223" s="16" t="s">
        <v>157</v>
      </c>
      <c r="C223" s="16" t="s">
        <v>2630</v>
      </c>
      <c r="D223" s="93" t="s">
        <v>2683</v>
      </c>
    </row>
    <row r="224" spans="1:4" x14ac:dyDescent="0.4">
      <c r="A224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Win-25_85_()-()</v>
      </c>
      <c r="B224" s="16" t="s">
        <v>157</v>
      </c>
      <c r="C224" s="16" t="s">
        <v>2630</v>
      </c>
      <c r="D224" s="93" t="s">
        <v>2684</v>
      </c>
    </row>
    <row r="225" spans="1:4" x14ac:dyDescent="0.4">
      <c r="A225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Win-25_86_()-()</v>
      </c>
      <c r="B225" s="16" t="s">
        <v>157</v>
      </c>
      <c r="C225" s="16" t="s">
        <v>2630</v>
      </c>
      <c r="D225" s="93" t="s">
        <v>2688</v>
      </c>
    </row>
    <row r="226" spans="1:4" x14ac:dyDescent="0.4">
      <c r="A226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Win-25_87_()-()</v>
      </c>
      <c r="B226" s="16" t="s">
        <v>157</v>
      </c>
      <c r="C226" s="16" t="s">
        <v>2630</v>
      </c>
      <c r="D226" s="93" t="s">
        <v>2689</v>
      </c>
    </row>
    <row r="227" spans="1:4" x14ac:dyDescent="0.4">
      <c r="A227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Win-25_88_()-()</v>
      </c>
      <c r="B227" s="16" t="s">
        <v>157</v>
      </c>
      <c r="C227" s="16" t="s">
        <v>2630</v>
      </c>
      <c r="D227" s="93" t="s">
        <v>2690</v>
      </c>
    </row>
    <row r="228" spans="1:4" x14ac:dyDescent="0.4">
      <c r="A228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Win-25_89_()-()</v>
      </c>
      <c r="B228" s="16" t="s">
        <v>157</v>
      </c>
      <c r="C228" s="16" t="s">
        <v>2630</v>
      </c>
      <c r="D228" s="93" t="s">
        <v>2691</v>
      </c>
    </row>
    <row r="229" spans="1:4" x14ac:dyDescent="0.4">
      <c r="A229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Win-25_90_()-()</v>
      </c>
      <c r="B229" s="16" t="s">
        <v>157</v>
      </c>
      <c r="C229" s="16" t="s">
        <v>2630</v>
      </c>
      <c r="D229" s="93" t="s">
        <v>2692</v>
      </c>
    </row>
    <row r="230" spans="1:4" x14ac:dyDescent="0.4">
      <c r="A230" s="16" t="str">
        <f>CONCATENATE("P","-",RIGHT(Table6[[#This Row],[Status]],4),"-",RIGHT(Table6[[#This Row],[Project Year]],2),"_",Table6[[#This Row],[Project '#]],"_",Table6[[#This Row],[Project Name
(End-User)]],"(",Table6[[#This Row],[Product]],")","-",Table6[[#This Row],[Channel Partner]],"(",Table6[[#This Row],[Country]],")")</f>
        <v>P- Win-25_91_()-()</v>
      </c>
      <c r="B230" s="16" t="s">
        <v>157</v>
      </c>
      <c r="C230" s="16" t="s">
        <v>2630</v>
      </c>
      <c r="D230" s="93" t="s">
        <v>2693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771E2F9-A062-442A-A66B-CC1BA8AA6169}">
          <x14:formula1>
            <xm:f>Source!$V:$V</xm:f>
          </x14:formula1>
          <xm:sqref>E1:E1048576</xm:sqref>
        </x14:dataValidation>
        <x14:dataValidation type="list" allowBlank="1" showInputMessage="1" showErrorMessage="1" xr:uid="{2B604ED5-DCF5-4745-8ACE-FB67E826647C}">
          <x14:formula1>
            <xm:f>Contact_Master!$D:$D</xm:f>
          </x14:formula1>
          <xm:sqref>F1:F1048576 G1:G1048576</xm:sqref>
        </x14:dataValidation>
        <x14:dataValidation type="list" allowBlank="1" showInputMessage="1" showErrorMessage="1" xr:uid="{CADAF02A-538E-4E64-A241-E10D96810EFC}">
          <x14:formula1>
            <xm:f>Source!$Q:$Q</xm:f>
          </x14:formula1>
          <xm:sqref>H1:H1048576</xm:sqref>
        </x14:dataValidation>
        <x14:dataValidation type="list" allowBlank="1" showInputMessage="1" showErrorMessage="1" xr:uid="{E3AD02DE-F783-4AD6-B6F6-190DCC17B473}">
          <x14:formula1>
            <xm:f>Source!$F:$F</xm:f>
          </x14:formula1>
          <xm:sqref>I1:I1048576</xm:sqref>
        </x14:dataValidation>
        <x14:dataValidation type="list" allowBlank="1" showInputMessage="1" showErrorMessage="1" xr:uid="{F277520E-1A4D-49D4-A787-4843BD6B91D3}">
          <x14:formula1>
            <xm:f>Source!$K:$K</xm:f>
          </x14:formula1>
          <xm:sqref>J1:J1048576</xm:sqref>
        </x14:dataValidation>
        <x14:dataValidation type="list" allowBlank="1" showInputMessage="1" showErrorMessage="1" xr:uid="{7842283C-9CE1-46E6-9FEF-41AF79BEAB58}">
          <x14:formula1>
            <xm:f>Source!$W:$W</xm:f>
          </x14:formula1>
          <xm:sqref>K1:K1048576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78A9-775F-430C-A694-C6357317E13C}">
  <sheetPr codeName="Sheet5"/>
  <dimension ref="A1:N25"/>
  <sheetViews>
    <sheetView workbookViewId="0">
      <selection activeCell="D19" sqref="D19"/>
    </sheetView>
  </sheetViews>
  <sheetFormatPr defaultRowHeight="14.6" x14ac:dyDescent="0.4"/>
  <cols>
    <col min="1" max="1" width="16" bestFit="1" customWidth="1"/>
    <col min="2" max="2" width="10.15234375" bestFit="1" customWidth="1"/>
    <col min="3" max="3" width="11.07421875" customWidth="1"/>
    <col min="4" max="4" width="10.765625" bestFit="1" customWidth="1"/>
  </cols>
  <sheetData>
    <row r="1" spans="1:14" x14ac:dyDescent="0.4">
      <c r="A1" t="s">
        <v>258</v>
      </c>
      <c r="B1" t="s">
        <v>259</v>
      </c>
    </row>
    <row r="3" spans="1:14" x14ac:dyDescent="0.4">
      <c r="A3" t="s">
        <v>272</v>
      </c>
      <c r="B3" s="38">
        <f>B4/(1-B6)</f>
        <v>3333.3333333333335</v>
      </c>
      <c r="F3" s="41"/>
      <c r="G3" s="41"/>
      <c r="H3" s="41"/>
      <c r="I3" s="41"/>
      <c r="J3" s="41"/>
      <c r="K3" s="41"/>
      <c r="L3" s="41"/>
      <c r="M3" s="41"/>
      <c r="N3" s="41"/>
    </row>
    <row r="4" spans="1:14" x14ac:dyDescent="0.4">
      <c r="A4" t="s">
        <v>273</v>
      </c>
      <c r="B4" s="38">
        <v>2500</v>
      </c>
      <c r="C4" s="39"/>
      <c r="F4" s="41"/>
      <c r="G4" s="41"/>
      <c r="H4" s="41"/>
      <c r="I4" s="41"/>
      <c r="J4" s="41"/>
      <c r="K4" s="41"/>
      <c r="L4" s="41"/>
      <c r="M4" s="41"/>
      <c r="N4" s="41"/>
    </row>
    <row r="5" spans="1:14" x14ac:dyDescent="0.4">
      <c r="A5" t="s">
        <v>260</v>
      </c>
      <c r="B5" s="38">
        <f>B3-B4</f>
        <v>833.33333333333348</v>
      </c>
      <c r="F5" s="41"/>
      <c r="G5" s="41"/>
      <c r="H5" s="41"/>
      <c r="I5" s="41"/>
      <c r="J5" s="41"/>
      <c r="K5" s="41"/>
      <c r="L5" s="41"/>
      <c r="M5" s="41"/>
      <c r="N5" s="41"/>
    </row>
    <row r="6" spans="1:14" x14ac:dyDescent="0.4">
      <c r="A6" t="s">
        <v>261</v>
      </c>
      <c r="B6" s="8">
        <v>0.25</v>
      </c>
      <c r="F6" s="41"/>
      <c r="G6" s="41"/>
      <c r="H6" s="41"/>
      <c r="I6" s="41"/>
      <c r="J6" s="41"/>
      <c r="K6" s="41"/>
      <c r="L6" s="41"/>
      <c r="M6" s="41"/>
      <c r="N6" s="41"/>
    </row>
    <row r="7" spans="1:14" x14ac:dyDescent="0.4">
      <c r="F7" s="41"/>
      <c r="G7" s="41"/>
      <c r="H7" s="41"/>
      <c r="I7" s="41"/>
      <c r="J7" s="41"/>
      <c r="K7" s="41"/>
      <c r="L7" s="41"/>
      <c r="M7" s="41"/>
      <c r="N7" s="41"/>
    </row>
    <row r="8" spans="1:14" ht="43.75" x14ac:dyDescent="0.4">
      <c r="A8" s="40" t="s">
        <v>271</v>
      </c>
      <c r="B8" s="8">
        <v>0.05</v>
      </c>
      <c r="C8" s="39">
        <f>B8*B5</f>
        <v>41.666666666666679</v>
      </c>
      <c r="F8" s="41"/>
      <c r="G8" s="41"/>
      <c r="H8" s="41"/>
      <c r="I8" s="41"/>
      <c r="J8" s="41"/>
      <c r="K8" s="41"/>
      <c r="L8" s="41"/>
      <c r="M8" s="41"/>
      <c r="N8" s="41"/>
    </row>
    <row r="9" spans="1:14" x14ac:dyDescent="0.4">
      <c r="A9" t="s">
        <v>262</v>
      </c>
      <c r="B9" s="8">
        <v>0.08</v>
      </c>
      <c r="C9" s="4">
        <f>B9*B5</f>
        <v>66.666666666666686</v>
      </c>
      <c r="F9" s="41"/>
      <c r="G9" s="41"/>
      <c r="H9" s="41"/>
      <c r="I9" s="41"/>
      <c r="J9" s="41"/>
      <c r="K9" s="41"/>
      <c r="L9" s="41"/>
      <c r="M9" s="41"/>
      <c r="N9" s="41"/>
    </row>
    <row r="10" spans="1:14" x14ac:dyDescent="0.4">
      <c r="A10" t="s">
        <v>263</v>
      </c>
      <c r="B10" s="8">
        <v>0.03</v>
      </c>
      <c r="C10" s="4">
        <f>B10*B5</f>
        <v>25.000000000000004</v>
      </c>
      <c r="F10" s="42"/>
      <c r="G10" s="42" t="s">
        <v>277</v>
      </c>
      <c r="H10" s="41"/>
      <c r="I10" s="41"/>
      <c r="J10" s="41"/>
      <c r="K10" s="41"/>
      <c r="L10" s="41"/>
      <c r="M10" s="41"/>
      <c r="N10" s="41"/>
    </row>
    <row r="11" spans="1:14" x14ac:dyDescent="0.4">
      <c r="A11" t="s">
        <v>264</v>
      </c>
      <c r="B11" s="8">
        <v>0.02</v>
      </c>
      <c r="C11" s="4">
        <f>B11*B5</f>
        <v>16.666666666666671</v>
      </c>
      <c r="F11" s="41"/>
      <c r="G11" s="41"/>
      <c r="H11" s="41"/>
      <c r="I11" s="41"/>
      <c r="J11" s="41"/>
      <c r="K11" s="41"/>
      <c r="L11" s="41"/>
      <c r="M11" s="41"/>
      <c r="N11" s="41"/>
    </row>
    <row r="12" spans="1:14" x14ac:dyDescent="0.4">
      <c r="A12" t="s">
        <v>265</v>
      </c>
      <c r="B12" s="8">
        <v>0.03</v>
      </c>
      <c r="C12" s="4">
        <f>B12*B5</f>
        <v>25.000000000000004</v>
      </c>
      <c r="F12" s="41"/>
      <c r="G12" s="41"/>
      <c r="H12" s="41"/>
      <c r="I12" s="41"/>
      <c r="J12" s="41"/>
      <c r="K12" s="41"/>
      <c r="L12" s="41"/>
      <c r="M12" s="41"/>
      <c r="N12" s="41"/>
    </row>
    <row r="13" spans="1:14" x14ac:dyDescent="0.4">
      <c r="A13" t="s">
        <v>267</v>
      </c>
      <c r="B13" s="8">
        <v>2.3800000000000002E-2</v>
      </c>
      <c r="C13" s="4">
        <f>B13*B5</f>
        <v>19.833333333333339</v>
      </c>
      <c r="F13" s="41"/>
      <c r="G13" s="41"/>
      <c r="H13" s="41"/>
      <c r="I13" s="41"/>
      <c r="J13" s="41"/>
      <c r="K13" s="41"/>
      <c r="L13" s="41"/>
      <c r="M13" s="41"/>
      <c r="N13" s="41"/>
    </row>
    <row r="14" spans="1:14" x14ac:dyDescent="0.4">
      <c r="C14" s="4"/>
      <c r="F14" s="41"/>
      <c r="G14" s="41"/>
      <c r="H14" s="41"/>
      <c r="I14" s="41"/>
      <c r="J14" s="41"/>
      <c r="K14" s="41"/>
      <c r="L14" s="41"/>
      <c r="M14" s="41"/>
      <c r="N14" s="41"/>
    </row>
    <row r="15" spans="1:14" x14ac:dyDescent="0.4">
      <c r="A15" t="s">
        <v>266</v>
      </c>
      <c r="C15" s="4"/>
      <c r="D15" s="39">
        <f>B5-SUM(C8:C13)</f>
        <v>638.50000000000011</v>
      </c>
      <c r="F15" s="41"/>
      <c r="G15" s="41"/>
      <c r="H15" s="41"/>
      <c r="I15" s="41"/>
      <c r="J15" s="41"/>
      <c r="K15" s="41"/>
      <c r="L15" s="41"/>
      <c r="M15" s="41"/>
      <c r="N15" s="41"/>
    </row>
    <row r="16" spans="1:14" x14ac:dyDescent="0.4">
      <c r="C16" s="4"/>
      <c r="F16" s="41"/>
      <c r="G16" s="41"/>
      <c r="H16" s="41"/>
      <c r="I16" s="41"/>
      <c r="J16" s="41"/>
      <c r="K16" s="41"/>
      <c r="L16" s="41"/>
      <c r="M16" s="41"/>
      <c r="N16" s="41"/>
    </row>
    <row r="17" spans="1:14" x14ac:dyDescent="0.4">
      <c r="A17" t="s">
        <v>268</v>
      </c>
      <c r="B17" s="8">
        <v>0.05</v>
      </c>
      <c r="C17" s="4"/>
      <c r="D17" s="39">
        <f>(D15*B17)</f>
        <v>31.925000000000008</v>
      </c>
      <c r="F17" s="41"/>
      <c r="G17" s="41"/>
      <c r="H17" s="41"/>
      <c r="I17" s="41"/>
      <c r="J17" s="41"/>
      <c r="K17" s="41"/>
      <c r="L17" s="41"/>
      <c r="M17" s="41"/>
      <c r="N17" s="41"/>
    </row>
    <row r="18" spans="1:14" x14ac:dyDescent="0.4">
      <c r="C18" s="4"/>
      <c r="F18" s="41"/>
      <c r="G18" s="41"/>
      <c r="H18" s="41"/>
      <c r="I18" s="41"/>
      <c r="J18" s="41"/>
      <c r="K18" s="41"/>
      <c r="L18" s="41"/>
      <c r="M18" s="41"/>
      <c r="N18" s="41"/>
    </row>
    <row r="19" spans="1:14" x14ac:dyDescent="0.4">
      <c r="A19" t="s">
        <v>270</v>
      </c>
      <c r="C19" s="4"/>
      <c r="D19" s="6">
        <f>(D15/(B4+SUM(C8:C13)+D17))*100</f>
        <v>23.416083200136917</v>
      </c>
      <c r="F19" s="41"/>
      <c r="G19" s="41"/>
      <c r="H19" s="41"/>
      <c r="I19" s="41"/>
      <c r="J19" s="41"/>
      <c r="K19" s="41"/>
      <c r="L19" s="41"/>
      <c r="M19" s="41"/>
      <c r="N19" s="41"/>
    </row>
    <row r="20" spans="1:14" x14ac:dyDescent="0.4">
      <c r="F20" s="41"/>
      <c r="G20" s="41"/>
      <c r="H20" s="41"/>
      <c r="I20" s="41"/>
      <c r="J20" s="41"/>
      <c r="K20" s="41"/>
      <c r="L20" s="41"/>
      <c r="M20" s="41"/>
      <c r="N20" s="41"/>
    </row>
    <row r="21" spans="1:14" x14ac:dyDescent="0.4">
      <c r="F21" s="41"/>
      <c r="G21" s="41"/>
      <c r="H21" s="41"/>
      <c r="I21" s="41"/>
      <c r="J21" s="41"/>
      <c r="K21" s="41"/>
      <c r="L21" s="41"/>
      <c r="M21" s="41"/>
      <c r="N21" s="41"/>
    </row>
    <row r="22" spans="1:14" x14ac:dyDescent="0.4">
      <c r="F22" s="41"/>
      <c r="G22" s="41"/>
      <c r="H22" s="41"/>
      <c r="I22" s="41"/>
      <c r="J22" s="41"/>
      <c r="K22" s="41"/>
      <c r="L22" s="41"/>
      <c r="M22" s="41"/>
      <c r="N22" s="41"/>
    </row>
    <row r="23" spans="1:14" x14ac:dyDescent="0.4">
      <c r="F23" s="41"/>
      <c r="G23" s="41"/>
      <c r="H23" s="41"/>
      <c r="I23" s="41"/>
      <c r="J23" s="41"/>
      <c r="K23" s="41"/>
      <c r="L23" s="41"/>
      <c r="M23" s="41"/>
      <c r="N23" s="41"/>
    </row>
    <row r="24" spans="1:14" x14ac:dyDescent="0.4">
      <c r="F24" s="41"/>
      <c r="G24" s="41"/>
      <c r="H24" s="41"/>
      <c r="I24" s="41"/>
      <c r="J24" s="41"/>
      <c r="K24" s="41"/>
      <c r="L24" s="41"/>
      <c r="M24" s="41"/>
      <c r="N24" s="41"/>
    </row>
    <row r="25" spans="1:14" x14ac:dyDescent="0.4">
      <c r="F25" s="41"/>
      <c r="G25" s="41"/>
      <c r="H25" s="41"/>
      <c r="I25" s="41"/>
      <c r="J25" s="41"/>
      <c r="K25" s="41"/>
      <c r="L25" s="41"/>
      <c r="M25" s="41"/>
      <c r="N25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53ED2-9281-4E52-8919-1C26546B3FC4}">
  <sheetPr codeName="Sheet6"/>
  <dimension ref="B2:Y5"/>
  <sheetViews>
    <sheetView tabSelected="1" topLeftCell="F1" workbookViewId="0">
      <selection activeCell="J10" sqref="J10"/>
    </sheetView>
  </sheetViews>
  <sheetFormatPr defaultColWidth="28.765625" defaultRowHeight="14.6" x14ac:dyDescent="0.4"/>
  <cols>
    <col min="1" max="1" width="3.4609375" customWidth="1"/>
    <col min="2" max="11" width="16" customWidth="1"/>
    <col min="12" max="14" width="2.3828125" customWidth="1"/>
    <col min="15" max="25" width="19.61328125" customWidth="1"/>
  </cols>
  <sheetData>
    <row r="2" spans="2:25" ht="21.9" customHeight="1" thickBot="1" x14ac:dyDescent="0.45">
      <c r="B2" s="45"/>
      <c r="C2" s="57" t="s">
        <v>4</v>
      </c>
      <c r="D2" s="46"/>
      <c r="E2" s="47"/>
      <c r="F2" s="48"/>
      <c r="G2" s="49"/>
      <c r="H2" s="50"/>
      <c r="I2" s="51"/>
      <c r="J2" s="6"/>
      <c r="K2" s="7"/>
      <c r="O2" s="68" t="s">
        <v>279</v>
      </c>
    </row>
    <row r="3" spans="2:25" ht="29.15" x14ac:dyDescent="0.4">
      <c r="B3" s="53" t="s">
        <v>4</v>
      </c>
      <c r="C3" s="66" t="s">
        <v>173</v>
      </c>
      <c r="D3" s="66" t="s">
        <v>192</v>
      </c>
      <c r="E3" s="66" t="s">
        <v>190</v>
      </c>
      <c r="F3" s="66" t="s">
        <v>213</v>
      </c>
      <c r="G3" s="66" t="s">
        <v>278</v>
      </c>
      <c r="H3" s="54" t="s">
        <v>129</v>
      </c>
      <c r="I3" s="55" t="s">
        <v>216</v>
      </c>
      <c r="J3" s="55" t="s">
        <v>193</v>
      </c>
      <c r="K3" s="56" t="s">
        <v>217</v>
      </c>
      <c r="O3" s="69" t="s">
        <v>214</v>
      </c>
      <c r="P3" s="70" t="s">
        <v>4</v>
      </c>
      <c r="Q3" s="70" t="s">
        <v>194</v>
      </c>
      <c r="R3" s="70" t="s">
        <v>192</v>
      </c>
      <c r="S3" s="70" t="s">
        <v>190</v>
      </c>
      <c r="T3" s="70" t="s">
        <v>213</v>
      </c>
      <c r="U3" s="70" t="s">
        <v>278</v>
      </c>
      <c r="V3" s="70" t="s">
        <v>129</v>
      </c>
      <c r="W3" s="70" t="s">
        <v>216</v>
      </c>
      <c r="X3" s="70" t="s">
        <v>193</v>
      </c>
      <c r="Y3" s="70" t="s">
        <v>217</v>
      </c>
    </row>
    <row r="4" spans="2:25" x14ac:dyDescent="0.4">
      <c r="B4" s="57" t="e" cm="1">
        <f t="array" ref="B4">IF(C2="","",_xlfn._xlws.FILTER($B16:$K505,ISNUMBER(SEARCH(C2,A16:$B505))+ISNUMBER(SEARCH(C2,B16:$C505))+ISNUMBER(SEARCH(C2,E16:$F505)),"None"))</f>
        <v>#VALUE!</v>
      </c>
      <c r="C4" s="58"/>
      <c r="D4" s="59"/>
      <c r="E4" s="60"/>
      <c r="F4" s="61"/>
      <c r="G4" s="62"/>
      <c r="H4" s="63"/>
      <c r="I4" s="64"/>
      <c r="J4" s="65"/>
      <c r="K4" s="63"/>
    </row>
    <row r="5" spans="2:25" ht="38.6" customHeight="1" x14ac:dyDescent="0.4"/>
  </sheetData>
  <conditionalFormatting sqref="C3:C4">
    <cfRule type="cellIs" dxfId="8" priority="2" operator="equal">
      <formula>TODAY()+15</formula>
    </cfRule>
  </conditionalFormatting>
  <conditionalFormatting sqref="C4">
    <cfRule type="cellIs" dxfId="7" priority="5" operator="between">
      <formula>TODAY()-7</formula>
      <formula>TODAY()+15</formula>
    </cfRule>
  </conditionalFormatting>
  <conditionalFormatting sqref="H3:K3">
    <cfRule type="cellIs" dxfId="6" priority="3" operator="between">
      <formula>TODAY()</formula>
      <formula>TODAY()-365</formula>
    </cfRule>
    <cfRule type="cellIs" dxfId="5" priority="4" operator="between">
      <formula>-1</formula>
      <formula>-30</formula>
    </cfRule>
  </conditionalFormatting>
  <conditionalFormatting sqref="D3:G3">
    <cfRule type="cellIs" dxfId="4" priority="1" operator="equal">
      <formula>TODAY()+15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9F28-72ED-442D-B046-64674FFB5DD6}">
  <sheetPr codeName="Sheet7"/>
  <dimension ref="A1:Q8"/>
  <sheetViews>
    <sheetView topLeftCell="F1" workbookViewId="0">
      <selection activeCell="N14" sqref="N14"/>
    </sheetView>
  </sheetViews>
  <sheetFormatPr defaultRowHeight="14.6" x14ac:dyDescent="0.4"/>
  <cols>
    <col min="1" max="1" width="1.84375" customWidth="1"/>
    <col min="2" max="8" width="22.53515625" customWidth="1"/>
    <col min="9" max="9" width="3" customWidth="1"/>
    <col min="10" max="15" width="16.61328125" customWidth="1"/>
    <col min="16" max="16" width="21.3046875" customWidth="1"/>
    <col min="17" max="17" width="15.15234375" style="4" customWidth="1"/>
  </cols>
  <sheetData>
    <row r="1" spans="1:17" ht="15" thickBot="1" x14ac:dyDescent="0.45">
      <c r="A1" s="71"/>
      <c r="C1" s="16"/>
      <c r="F1" s="72"/>
      <c r="G1" s="7"/>
    </row>
    <row r="2" spans="1:17" ht="18" thickBot="1" x14ac:dyDescent="0.45">
      <c r="A2" s="7"/>
      <c r="B2" s="52"/>
      <c r="C2" s="73" t="s">
        <v>280</v>
      </c>
      <c r="D2" s="74"/>
      <c r="E2" s="75"/>
      <c r="F2" s="48"/>
      <c r="G2" s="48"/>
      <c r="H2" s="51"/>
      <c r="J2" s="68" t="s">
        <v>279</v>
      </c>
    </row>
    <row r="3" spans="1:17" ht="35.6" customHeight="1" thickBot="1" x14ac:dyDescent="0.45">
      <c r="A3" s="47"/>
      <c r="B3" s="76" t="s">
        <v>129</v>
      </c>
      <c r="C3" s="76" t="s">
        <v>173</v>
      </c>
      <c r="D3" s="77" t="s">
        <v>178</v>
      </c>
      <c r="E3" s="76" t="s">
        <v>177</v>
      </c>
      <c r="F3" s="76" t="s">
        <v>289</v>
      </c>
      <c r="G3" s="78" t="s">
        <v>195</v>
      </c>
      <c r="H3" s="87" t="s">
        <v>290</v>
      </c>
      <c r="J3" s="76" t="s">
        <v>281</v>
      </c>
      <c r="K3" s="76" t="s">
        <v>129</v>
      </c>
      <c r="L3" s="77" t="s">
        <v>173</v>
      </c>
      <c r="M3" s="76" t="s">
        <v>225</v>
      </c>
      <c r="N3" s="76" t="s">
        <v>223</v>
      </c>
      <c r="O3" s="76" t="s">
        <v>289</v>
      </c>
      <c r="P3" s="78" t="s">
        <v>195</v>
      </c>
      <c r="Q3" s="87" t="s">
        <v>290</v>
      </c>
    </row>
    <row r="4" spans="1:17" x14ac:dyDescent="0.4">
      <c r="I4" s="79"/>
      <c r="J4" s="82">
        <v>-364</v>
      </c>
      <c r="K4" s="82" t="s">
        <v>282</v>
      </c>
      <c r="L4" s="82" t="s">
        <v>283</v>
      </c>
      <c r="M4" s="86">
        <v>45616</v>
      </c>
      <c r="N4" s="82" t="s">
        <v>284</v>
      </c>
      <c r="O4" s="82" t="s">
        <v>285</v>
      </c>
      <c r="P4" s="82" t="s">
        <v>286</v>
      </c>
      <c r="Q4" s="88"/>
    </row>
    <row r="5" spans="1:17" x14ac:dyDescent="0.4">
      <c r="I5" s="79"/>
      <c r="J5" s="82">
        <v>-264</v>
      </c>
      <c r="K5" s="82" t="s">
        <v>131</v>
      </c>
      <c r="L5" s="82" t="s">
        <v>287</v>
      </c>
      <c r="M5" s="86">
        <v>45716</v>
      </c>
      <c r="N5" s="82" t="s">
        <v>288</v>
      </c>
      <c r="O5" s="82" t="s">
        <v>285</v>
      </c>
      <c r="P5" s="82" t="s">
        <v>286</v>
      </c>
      <c r="Q5" s="88">
        <v>292368.40650000004</v>
      </c>
    </row>
    <row r="6" spans="1:17" x14ac:dyDescent="0.4">
      <c r="I6" s="83"/>
      <c r="J6" s="84"/>
      <c r="K6" s="83"/>
      <c r="L6" s="83"/>
      <c r="M6" s="83"/>
      <c r="N6" s="85"/>
    </row>
    <row r="7" spans="1:17" x14ac:dyDescent="0.4">
      <c r="I7" s="79"/>
      <c r="J7" s="80"/>
      <c r="K7" s="79"/>
      <c r="L7" s="79"/>
      <c r="M7" s="79"/>
      <c r="N7" s="81"/>
    </row>
    <row r="8" spans="1:17" x14ac:dyDescent="0.4">
      <c r="I8" s="79"/>
      <c r="J8" s="80"/>
      <c r="K8" s="79"/>
      <c r="L8" s="79"/>
      <c r="M8" s="79"/>
      <c r="N8" s="81"/>
    </row>
  </sheetData>
  <mergeCells count="1">
    <mergeCell ref="C2:D2"/>
  </mergeCells>
  <conditionalFormatting sqref="A1:A3 J4:J5">
    <cfRule type="cellIs" dxfId="3" priority="1" operator="lessThan">
      <formula>-22752</formula>
    </cfRule>
  </conditionalFormatting>
  <conditionalFormatting sqref="J4:J5">
    <cfRule type="cellIs" dxfId="2" priority="2" operator="between">
      <formula>-30</formula>
      <formula>-5000</formula>
    </cfRule>
    <cfRule type="cellIs" dxfId="1" priority="3" operator="between">
      <formula>0</formula>
      <formula>-29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73C04-4FFD-4894-B262-E2809655FDEF}">
  <sheetPr codeName="Sheet8"/>
  <dimension ref="A1:E1"/>
  <sheetViews>
    <sheetView workbookViewId="0">
      <selection activeCell="D9" sqref="D9"/>
    </sheetView>
  </sheetViews>
  <sheetFormatPr defaultRowHeight="14.6" x14ac:dyDescent="0.4"/>
  <cols>
    <col min="1" max="1" width="14.23046875" customWidth="1"/>
    <col min="2" max="2" width="27.15234375" customWidth="1"/>
    <col min="3" max="3" width="18.15234375" customWidth="1"/>
    <col min="4" max="4" width="17.69140625" bestFit="1" customWidth="1"/>
    <col min="5" max="5" width="24.3828125" customWidth="1"/>
  </cols>
  <sheetData>
    <row r="1" spans="1:5" ht="43.75" x14ac:dyDescent="0.4">
      <c r="A1" s="57" t="s">
        <v>291</v>
      </c>
      <c r="B1" s="44" t="s">
        <v>292</v>
      </c>
      <c r="C1" s="57" t="s">
        <v>92</v>
      </c>
      <c r="D1" s="57" t="s">
        <v>93</v>
      </c>
      <c r="E1" s="57" t="s">
        <v>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CD03-AA98-42AB-ACB4-BC3020E889A4}">
  <sheetPr codeName="Sheet9"/>
  <dimension ref="A1:K2"/>
  <sheetViews>
    <sheetView topLeftCell="C1" workbookViewId="0">
      <selection activeCell="I1" sqref="I1"/>
    </sheetView>
  </sheetViews>
  <sheetFormatPr defaultColWidth="20.3828125" defaultRowHeight="14.6" x14ac:dyDescent="0.4"/>
  <cols>
    <col min="1" max="1" width="24.07421875" customWidth="1"/>
    <col min="5" max="5" width="27.61328125" bestFit="1" customWidth="1"/>
  </cols>
  <sheetData>
    <row r="1" spans="1:11" x14ac:dyDescent="0.4">
      <c r="A1" s="67" t="s">
        <v>194</v>
      </c>
      <c r="B1" s="67" t="s">
        <v>4</v>
      </c>
      <c r="C1" s="67" t="s">
        <v>129</v>
      </c>
      <c r="D1" s="67" t="s">
        <v>12</v>
      </c>
      <c r="E1" s="67" t="s">
        <v>257</v>
      </c>
      <c r="F1" s="67" t="s">
        <v>293</v>
      </c>
      <c r="G1" s="67" t="s">
        <v>179</v>
      </c>
      <c r="H1" s="67" t="s">
        <v>256</v>
      </c>
      <c r="I1" s="67" t="s">
        <v>294</v>
      </c>
      <c r="J1" s="67" t="s">
        <v>241</v>
      </c>
      <c r="K1" s="67" t="s">
        <v>152</v>
      </c>
    </row>
    <row r="2" spans="1:11" x14ac:dyDescent="0.4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8583-EC96-40CD-B456-62B3FD990BC5}">
  <sheetPr codeName="Sheet10"/>
  <dimension ref="A1"/>
  <sheetViews>
    <sheetView workbookViewId="0">
      <selection activeCell="J31" sqref="J31"/>
    </sheetView>
  </sheetViews>
  <sheetFormatPr defaultRowHeight="14.6" x14ac:dyDescent="0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47CE2-48EE-4F04-96DA-00E6CB3464CB}">
  <sheetPr codeName="Sheet11"/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294D-F612-4CC3-BBAF-9B781D25816F}">
  <sheetPr codeName="Sheet12"/>
  <dimension ref="A1:G2"/>
  <sheetViews>
    <sheetView workbookViewId="0">
      <selection activeCell="G3" sqref="G3"/>
    </sheetView>
  </sheetViews>
  <sheetFormatPr defaultRowHeight="14.6" x14ac:dyDescent="0.4"/>
  <cols>
    <col min="1" max="6" width="22" customWidth="1"/>
  </cols>
  <sheetData>
    <row r="1" spans="1:7" x14ac:dyDescent="0.4">
      <c r="A1" s="31" t="s">
        <v>8</v>
      </c>
      <c r="B1" s="31" t="s">
        <v>11</v>
      </c>
      <c r="C1" s="31" t="s">
        <v>12</v>
      </c>
      <c r="D1" s="31" t="s">
        <v>87</v>
      </c>
      <c r="E1" s="31" t="s">
        <v>89</v>
      </c>
      <c r="F1" s="31" t="s">
        <v>88</v>
      </c>
      <c r="G1" s="31" t="s">
        <v>295</v>
      </c>
    </row>
    <row r="2" spans="1:7" x14ac:dyDescent="0.4">
      <c r="G2" t="s">
        <v>296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0FC43-88D3-4327-AB56-64544C6CAC47}">
  <sheetPr codeName="Sheet13"/>
  <dimension ref="A1:K2"/>
  <sheetViews>
    <sheetView workbookViewId="0">
      <selection activeCell="G28" sqref="G28"/>
    </sheetView>
  </sheetViews>
  <sheetFormatPr defaultColWidth="19.23046875" defaultRowHeight="14.6" x14ac:dyDescent="0.4"/>
  <cols>
    <col min="1" max="1" width="12.69140625" customWidth="1"/>
    <col min="2" max="2" width="9.69140625" customWidth="1"/>
    <col min="3" max="3" width="13.23046875" customWidth="1"/>
    <col min="10" max="10" width="21.921875" customWidth="1"/>
  </cols>
  <sheetData>
    <row r="1" spans="1:11" x14ac:dyDescent="0.4">
      <c r="A1" s="67" t="s">
        <v>127</v>
      </c>
      <c r="B1" s="67" t="s">
        <v>151</v>
      </c>
      <c r="C1" s="67" t="s">
        <v>241</v>
      </c>
      <c r="D1" s="67" t="s">
        <v>194</v>
      </c>
      <c r="E1" s="67" t="s">
        <v>4</v>
      </c>
      <c r="F1" s="67" t="s">
        <v>129</v>
      </c>
      <c r="G1" s="67" t="s">
        <v>12</v>
      </c>
      <c r="H1" s="67" t="s">
        <v>309</v>
      </c>
      <c r="I1" s="67" t="s">
        <v>107</v>
      </c>
      <c r="J1" s="67" t="s">
        <v>297</v>
      </c>
      <c r="K1" s="67" t="s">
        <v>152</v>
      </c>
    </row>
    <row r="2" spans="1:11" x14ac:dyDescent="0.4">
      <c r="H2" s="89" t="b">
        <v>0</v>
      </c>
      <c r="I2" s="89" t="b">
        <v>0</v>
      </c>
      <c r="J2" s="9">
        <v>1</v>
      </c>
    </row>
  </sheetData>
  <conditionalFormatting sqref="J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Source</vt:lpstr>
      <vt:lpstr>Approver_Rules</vt:lpstr>
      <vt:lpstr>Contact_Entry_00</vt:lpstr>
      <vt:lpstr>Contact_Master</vt:lpstr>
      <vt:lpstr>Project_Entry_01</vt:lpstr>
      <vt:lpstr>Project_Master</vt:lpstr>
      <vt:lpstr>Approvers_Dashboard_02</vt:lpstr>
      <vt:lpstr>AR_Report_03</vt:lpstr>
      <vt:lpstr>AP_Report_04</vt:lpstr>
      <vt:lpstr>Payment_History_05</vt:lpstr>
      <vt:lpstr>Contract_Summary_06</vt:lpstr>
      <vt:lpstr>Forecasting_07</vt:lpstr>
      <vt:lpstr>Sales_Evaluation_08</vt:lpstr>
      <vt:lpstr>Docs_Records_09</vt:lpstr>
      <vt:lpstr>Project_Updates_10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Mimay</dc:creator>
  <cp:lastModifiedBy>Michelle Mimay</cp:lastModifiedBy>
  <dcterms:created xsi:type="dcterms:W3CDTF">2025-12-04T19:06:54Z</dcterms:created>
  <dcterms:modified xsi:type="dcterms:W3CDTF">2025-12-05T01:04:18Z</dcterms:modified>
</cp:coreProperties>
</file>